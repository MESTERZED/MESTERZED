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Plan" sheetId="2" state="visible" r:id="rId4"/>
    <sheet name="Compétences" sheetId="3" state="visible" r:id="rId5"/>
    <sheet name="Exercice Consolidation" sheetId="4" state="visible" r:id="rId6"/>
    <sheet name="Exercice Mapping" sheetId="5" state="visible" r:id="rId7"/>
    <sheet name="KPI Données" sheetId="6" state="visible" r:id="rId8"/>
    <sheet name="Tableau de bord KPI" sheetId="7" state="visible" r:id="rId9"/>
    <sheet name="Plan d'actions" sheetId="8" state="visible" r:id="rId10"/>
    <sheet name="Audit filiales" sheetId="9" state="visible" r:id="rId11"/>
    <sheet name="Clôture mensuelle" sheetId="10" state="visible" r:id="rId12"/>
    <sheet name="Ressources" sheetId="11" state="visible" r:id="rId13"/>
  </sheets>
  <definedNames>
    <definedName function="false" hidden="true" localSheetId="1" name="_xlnm._FilterDatabase" vbProcedure="false">Plan!$A$4:$K$30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Les intérêts minoritaires (20 %) reçoivent leur quote-part du résultat de F2.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" authorId="0">
      <text>
        <r>
          <rPr>
            <sz val="10"/>
            <rFont val="Arial"/>
            <family val="2"/>
          </rPr>
          <t xml:space="preserve">Volontairement vide : à vous de mapper ce compte (réponse : G-IS).</t>
        </r>
      </text>
    </comment>
  </commentList>
</comments>
</file>

<file path=xl/sharedStrings.xml><?xml version="1.0" encoding="utf-8"?>
<sst xmlns="http://schemas.openxmlformats.org/spreadsheetml/2006/main" count="802" uniqueCount="525">
  <si>
    <t xml:space="preserve">Tableau de bord – Montée en compétences Consolidation, KPI &amp; audit</t>
  </si>
  <si>
    <t xml:space="preserve">Onglet 100 % calculé à partir des onglets Plan et Compétences. Ne rien saisir ici.</t>
  </si>
  <si>
    <t xml:space="preserve">Indicateurs globaux</t>
  </si>
  <si>
    <t xml:space="preserve">Heures prévues</t>
  </si>
  <si>
    <t xml:space="preserve">Heures réalisées</t>
  </si>
  <si>
    <t xml:space="preserve">Avancement global (heures)</t>
  </si>
  <si>
    <t xml:space="preserve">Tâches terminées</t>
  </si>
  <si>
    <t xml:space="preserve">Niveau moyen actuel (/5)</t>
  </si>
  <si>
    <t xml:space="preserve">Niveau moyen cible (/5)</t>
  </si>
  <si>
    <t xml:space="preserve">Compétences priorité haute</t>
  </si>
  <si>
    <t xml:space="preserve">Avancement par module</t>
  </si>
  <si>
    <t xml:space="preserve">Module</t>
  </si>
  <si>
    <t xml:space="preserve">Intitulé</t>
  </si>
  <si>
    <t xml:space="preserve">Semaines</t>
  </si>
  <si>
    <t xml:space="preserve">% avancement</t>
  </si>
  <si>
    <t xml:space="preserve">Tâches</t>
  </si>
  <si>
    <t xml:space="preserve">Terminées</t>
  </si>
  <si>
    <t xml:space="preserve">Statut</t>
  </si>
  <si>
    <t xml:space="preserve">C1</t>
  </si>
  <si>
    <t xml:space="preserve">Consolidation des comptes – fondamentaux</t>
  </si>
  <si>
    <t xml:space="preserve">C2</t>
  </si>
  <si>
    <t xml:space="preserve">Clôtures mensuelles &amp; fiabilisation</t>
  </si>
  <si>
    <t xml:space="preserve">C3</t>
  </si>
  <si>
    <t xml:space="preserve">Tagetik &amp; outils de consolidation</t>
  </si>
  <si>
    <t xml:space="preserve">C4</t>
  </si>
  <si>
    <t xml:space="preserve">Intégration de sociétés acquises</t>
  </si>
  <si>
    <t xml:space="preserve">C5</t>
  </si>
  <si>
    <t xml:space="preserve">Conception d'indicateurs (KPI)</t>
  </si>
  <si>
    <t xml:space="preserve">C6</t>
  </si>
  <si>
    <t xml:space="preserve">Tableaux de bord &amp; diffusion</t>
  </si>
  <si>
    <t xml:space="preserve">C7</t>
  </si>
  <si>
    <t xml:space="preserve">Analyse de performance &amp; plans d'actions</t>
  </si>
  <si>
    <t xml:space="preserve">C8</t>
  </si>
  <si>
    <t xml:space="preserve">Audit financier &amp; contrôle interne</t>
  </si>
  <si>
    <t xml:space="preserve">C9</t>
  </si>
  <si>
    <t xml:space="preserve">Former les collaborateurs</t>
  </si>
  <si>
    <t xml:space="preserve">C10</t>
  </si>
  <si>
    <t xml:space="preserve">Projet de synthèse</t>
  </si>
  <si>
    <t xml:space="preserve">Légende : cellules jaunes à texte bleu = saisies · texte noir = formules · texte vert = liens vers un autre onglet.</t>
  </si>
  <si>
    <t xml:space="preserve">Plan de montée en compétences – Consolidation, KPI &amp; audit – 13 semaines (≈ 6 h / semaine)</t>
  </si>
  <si>
    <t xml:space="preserve">Saisir uniquement les cellules jaunes (texte bleu). La ligne 1 est un exemple rempli. Complète le premier plan (contrôle de gestion / analyse des coûts).</t>
  </si>
  <si>
    <t xml:space="preserve">Semaine</t>
  </si>
  <si>
    <t xml:space="preserve">Intitulé module</t>
  </si>
  <si>
    <t xml:space="preserve">Tâche / objectif</t>
  </si>
  <si>
    <t xml:space="preserve">Ressource</t>
  </si>
  <si>
    <t xml:space="preserve">Livrable attendu</t>
  </si>
  <si>
    <t xml:space="preserve">Date de fin</t>
  </si>
  <si>
    <t xml:space="preserve">% réalisé</t>
  </si>
  <si>
    <t xml:space="preserve">Périmètre et méthodes : intégration globale, mise en équivalence, % de contrôle vs % d'intérêts</t>
  </si>
  <si>
    <t xml:space="preserve">Obert &amp; Mairesse, DSCG 4 (Dunod) ; règlement ANC 2020-01</t>
  </si>
  <si>
    <t xml:space="preserve">Organigramme du groupe avec méthodes</t>
  </si>
  <si>
    <t xml:space="preserve">Terminé</t>
  </si>
  <si>
    <t xml:space="preserve">2026-10-25</t>
  </si>
  <si>
    <t xml:space="preserve">Étapes de la consolidation : retraitements, cumul, éliminations, partage des capitaux propres</t>
  </si>
  <si>
    <t xml:space="preserve">DSCG 4 – chapitres consolidation</t>
  </si>
  <si>
    <t xml:space="preserve">Schéma des étapes</t>
  </si>
  <si>
    <t xml:space="preserve">À faire</t>
  </si>
  <si>
    <t xml:space="preserve">Éliminations intragroupe : ventes, frais, marges sur stocks, dividendes</t>
  </si>
  <si>
    <t xml:space="preserve">Onglet Exercice Consolidation</t>
  </si>
  <si>
    <t xml:space="preserve">Exercice résolu + 5 lignes de commentaire</t>
  </si>
  <si>
    <t xml:space="preserve">Intérêts minoritaires, écart d'acquisition, conversion des comptes en devises (notions)</t>
  </si>
  <si>
    <t xml:space="preserve">IFRS 3, IFRS 10, IAS 21 (ifrs.org)</t>
  </si>
  <si>
    <t xml:space="preserve">Fiche glossaire consolidation</t>
  </si>
  <si>
    <t xml:space="preserve">Calendrier de clôture J-2 → J+8 : jalons, responsables, livrables</t>
  </si>
  <si>
    <t xml:space="preserve">Onglet Clôture mensuelle</t>
  </si>
  <si>
    <t xml:space="preserve">Calendrier adapté à votre périmètre</t>
  </si>
  <si>
    <t xml:space="preserve">Contrôles de cohérence des liasses et correction des erreurs ; rapprochements intragroupe</t>
  </si>
  <si>
    <t xml:space="preserve">Onglet Exercice Consolidation (section réconciliation)</t>
  </si>
  <si>
    <t xml:space="preserve">Check-list de revue de liasse</t>
  </si>
  <si>
    <t xml:space="preserve">Logique d'un outil de consolidation : entités, plan de comptes groupe, flux, liasses, règles</t>
  </si>
  <si>
    <t xml:space="preserve">Documentation CCH Tagetik (Wolters Kluwer)</t>
  </si>
  <si>
    <t xml:space="preserve">Cartographie des objets de l'outil</t>
  </si>
  <si>
    <t xml:space="preserve">Workflow de remontée : saisie/import, contrôles bloquants, validation, verrouillage</t>
  </si>
  <si>
    <t xml:space="preserve">Documentation éditeur ; retours d'expérience</t>
  </si>
  <si>
    <t xml:space="preserve">Schéma du workflow mensuel</t>
  </si>
  <si>
    <t xml:space="preserve">Comparer Tagetik, SAP BFC, OneStream, Board : forces, limites, coûts</t>
  </si>
  <si>
    <t xml:space="preserve">Sites éditeurs ; publications cabinets</t>
  </si>
  <si>
    <t xml:space="preserve">Tableau comparatif</t>
  </si>
  <si>
    <t xml:space="preserve">Implémentation d'un projet type ConsAll : paramétrage, reprise historique, recette, bascule</t>
  </si>
  <si>
    <t xml:space="preserve">Guide Word – module C3 (+ module M8 du 1er guide)</t>
  </si>
  <si>
    <t xml:space="preserve">Plan de projet en 5 lots</t>
  </si>
  <si>
    <t xml:space="preserve">Intégrer une société acquise : mapping plan de comptes local → groupe et plan analytique</t>
  </si>
  <si>
    <t xml:space="preserve">Onglet Exercice Mapping</t>
  </si>
  <si>
    <t xml:space="preserve">Table de mapping contrôlée</t>
  </si>
  <si>
    <t xml:space="preserve">Plan des 100 jours : accès outils, procédures, première liasse, effet périmètre</t>
  </si>
  <si>
    <t xml:space="preserve">Guide Word – module C4</t>
  </si>
  <si>
    <t xml:space="preserve">Check-list d'intégration</t>
  </si>
  <si>
    <t xml:space="preserve">Concevoir un KPI : objectif, formule, source, fréquence, cible, seuils, responsable</t>
  </si>
  <si>
    <t xml:space="preserve">Fernandez, Les nouveaux tableaux de bord des managers (Eyrolles)</t>
  </si>
  <si>
    <t xml:space="preserve">3 fiches indicateurs</t>
  </si>
  <si>
    <t xml:space="preserve">Balanced Scorecard et arbre d'indicateurs ; animer un atelier transverse</t>
  </si>
  <si>
    <t xml:space="preserve">Kaplan &amp; Norton, The Balanced Scorecard (HBS Press)</t>
  </si>
  <si>
    <t xml:space="preserve">Arbre de KPI d'une filiale</t>
  </si>
  <si>
    <t xml:space="preserve">Réaliser le tableau de bord dynamique (sélecteur de mois, feux, cumul)</t>
  </si>
  <si>
    <t xml:space="preserve">Onglets KPI Données + Tableau de bord KPI</t>
  </si>
  <si>
    <t xml:space="preserve">Tableau de bord fonctionnel</t>
  </si>
  <si>
    <t xml:space="preserve">Règles de lisibilité et processus de diffusion mensuelle consolidée</t>
  </si>
  <si>
    <t xml:space="preserve">Stephen Few, Information Dashboard Design</t>
  </si>
  <si>
    <t xml:space="preserve">Calendrier et liste de diffusion</t>
  </si>
  <si>
    <t xml:space="preserve">Analyse des causes : Pareto, 5 pourquoi, Ishikawa</t>
  </si>
  <si>
    <t xml:space="preserve">Onglet Plan d'actions (Pareto)</t>
  </si>
  <si>
    <t xml:space="preserve">Pareto commenté</t>
  </si>
  <si>
    <t xml:space="preserve">Construire et suivre un plan d'actions correctives chiffré</t>
  </si>
  <si>
    <t xml:space="preserve">Onglet Plan d'actions</t>
  </si>
  <si>
    <t xml:space="preserve">Plan d'actions avec 5 actions</t>
  </si>
  <si>
    <t xml:space="preserve">Contrôle interne : référentiel COSO, cycles, risques et contrôles clés</t>
  </si>
  <si>
    <t xml:space="preserve">COSO 2013 ; AMF – Cadre de référence ; IFACI</t>
  </si>
  <si>
    <t xml:space="preserve">Matrice risques / contrôles</t>
  </si>
  <si>
    <t xml:space="preserve">Techniques d'audit : revue analytique, échantillonnage, rapprochements, tests</t>
  </si>
  <si>
    <t xml:space="preserve">DSCG 4 – partie audit</t>
  </si>
  <si>
    <t xml:space="preserve">Programme de travail d'audit</t>
  </si>
  <si>
    <t xml:space="preserve">Réaliser l'onglet « Audit filiales » et noter 3 filiales</t>
  </si>
  <si>
    <t xml:space="preserve">Onglet Audit filiales</t>
  </si>
  <si>
    <t xml:space="preserve">Scores + 3 constats</t>
  </si>
  <si>
    <t xml:space="preserve">Rédiger un rapport d'audit : constat, risque, recommandation, plan d'action</t>
  </si>
  <si>
    <t xml:space="preserve">Guide Word – module C8</t>
  </si>
  <si>
    <t xml:space="preserve">Rapport d'audit 2 pages</t>
  </si>
  <si>
    <t xml:space="preserve">Concevoir une formation logiciel : objectifs, déroulé, cas pratiques, évaluation</t>
  </si>
  <si>
    <t xml:space="preserve">Guide Word – module C9</t>
  </si>
  <si>
    <t xml:space="preserve">Déroulé pédagogique 2 h</t>
  </si>
  <si>
    <t xml:space="preserve">Supports : mode opératoire illustré, aide-mémoire, FAQ</t>
  </si>
  <si>
    <t xml:space="preserve">Aide-mémoire 1 page</t>
  </si>
  <si>
    <t xml:space="preserve">Projet : consolider un mini-groupe, publier le tableau de bord, plan d'actions</t>
  </si>
  <si>
    <t xml:space="preserve">Tous les onglets</t>
  </si>
  <si>
    <t xml:space="preserve">Dossier complet</t>
  </si>
  <si>
    <t xml:space="preserve">Auto-évaluation finale et mise à jour du CV / LinkedIn</t>
  </si>
  <si>
    <t xml:space="preserve">Onglet Compétences</t>
  </si>
  <si>
    <t xml:space="preserve">Profil mis à jour</t>
  </si>
  <si>
    <t xml:space="preserve">TOTAL</t>
  </si>
  <si>
    <t xml:space="preserve">Matrice de compétences – auto-évaluation (nouvelles compétences uniquement)</t>
  </si>
  <si>
    <t xml:space="preserve">Échelle 1 à 5 : 1 = notions · 2 = débutant · 3 = autonome · 4 = maîtrise · 5 = expert. Niveaux actuels pré-remplis à titre indicatif : à ajuster.</t>
  </si>
  <si>
    <t xml:space="preserve">Compétence</t>
  </si>
  <si>
    <t xml:space="preserve">Origine dans le profil</t>
  </si>
  <si>
    <t xml:space="preserve">Niveau actuel (1-5)</t>
  </si>
  <si>
    <t xml:space="preserve">Niveau cible</t>
  </si>
  <si>
    <t xml:space="preserve">Écart</t>
  </si>
  <si>
    <t xml:space="preserve">Priorité</t>
  </si>
  <si>
    <t xml:space="preserve">Preuve / livrable de validation</t>
  </si>
  <si>
    <t xml:space="preserve">Consolidation des comptes (périmètre, méthodes, étapes)</t>
  </si>
  <si>
    <t xml:space="preserve">Consolidation des données du groupe</t>
  </si>
  <si>
    <t xml:space="preserve">Exercice consolidation résolu</t>
  </si>
  <si>
    <t xml:space="preserve">Éliminations et réconciliations intragroupe</t>
  </si>
  <si>
    <t xml:space="preserve">Correction des erreurs pour la consolidation</t>
  </si>
  <si>
    <t xml:space="preserve">Tableau de réconciliation</t>
  </si>
  <si>
    <t xml:space="preserve">Clôtures mensuelles &amp; fiabilisation des liasses</t>
  </si>
  <si>
    <t xml:space="preserve">Suivi des clôtures mensuelles</t>
  </si>
  <si>
    <t xml:space="preserve">Calendrier + check-list de revue</t>
  </si>
  <si>
    <t xml:space="preserve">CCH Tagetik / outil de consolidation</t>
  </si>
  <si>
    <t xml:space="preserve">Projet ConsAll (Tagetik)</t>
  </si>
  <si>
    <t xml:space="preserve">Cartographie de l'outil + plan de projet</t>
  </si>
  <si>
    <t xml:space="preserve">Intégration analytique de sociétés acquises</t>
  </si>
  <si>
    <t xml:space="preserve">Intégration suite aux rachats</t>
  </si>
  <si>
    <t xml:space="preserve">Conception d'indicateurs de performance</t>
  </si>
  <si>
    <t xml:space="preserve">Mise en place de KPI (réunions transverses)</t>
  </si>
  <si>
    <t xml:space="preserve">Fiches indicateurs + arbre de KPI</t>
  </si>
  <si>
    <t xml:space="preserve">Tableaux de bord &amp; diffusion mensuelle</t>
  </si>
  <si>
    <t xml:space="preserve">Création et diffusion des tableaux de bord</t>
  </si>
  <si>
    <t xml:space="preserve">Tableau de bord dynamique</t>
  </si>
  <si>
    <t xml:space="preserve">Analyse des causes &amp; plans d'actions correctives</t>
  </si>
  <si>
    <t xml:space="preserve">Solutions en cas d'écarts négatifs</t>
  </si>
  <si>
    <t xml:space="preserve">Pareto + plan d'actions</t>
  </si>
  <si>
    <t xml:space="preserve">Audit financier &amp; contrôle interne des filiales</t>
  </si>
  <si>
    <t xml:space="preserve">Audit des bonnes pratiques comptables</t>
  </si>
  <si>
    <t xml:space="preserve">Rapport d'audit</t>
  </si>
  <si>
    <t xml:space="preserve">Formation des collaborateurs</t>
  </si>
  <si>
    <t xml:space="preserve">Formation aux logiciels comptable et conso</t>
  </si>
  <si>
    <t xml:space="preserve">Déroulé pédagogique + aide-mémoire</t>
  </si>
  <si>
    <t xml:space="preserve">Animation de réunions transverses</t>
  </si>
  <si>
    <t xml:space="preserve">Réunions transverses</t>
  </si>
  <si>
    <t xml:space="preserve">Compte rendu d'atelier KPI</t>
  </si>
  <si>
    <t xml:space="preserve">Moyenne</t>
  </si>
  <si>
    <t xml:space="preserve">Déjà couvert par le premier plan (non repris ici) : Excel avancé, Power Query, bases Power BI, calcul des écarts / bridges, gestion de projet de déploiement d'outil, analyse de données.</t>
  </si>
  <si>
    <t xml:space="preserve">Exercice – Consolidation du compte de résultat d'un mini-groupe (données fictives, k€)</t>
  </si>
  <si>
    <t xml:space="preserve">Mère M détient F1 à 100 % et F2 à 80 % (intégration globale). Charges en négatif. Modifier les cellules jaunes : tout se recalcule.</t>
  </si>
  <si>
    <t xml:space="preserve">1. Hypothèses des opérations intragroupe</t>
  </si>
  <si>
    <t xml:space="preserve">Ventes de M à F1 (k€)</t>
  </si>
  <si>
    <t xml:space="preserve">Frais de gestion facturés par M à F2 (k€)</t>
  </si>
  <si>
    <t xml:space="preserve">Stock chez F1 acheté à M, en fin de période (k€)</t>
  </si>
  <si>
    <t xml:space="preserve">Taux de marge de M sur ses ventes (% du prix de vente)</t>
  </si>
  <si>
    <t xml:space="preserve">Taux d'impôt sur les sociétés</t>
  </si>
  <si>
    <t xml:space="preserve">% d'intérêts du groupe dans F2</t>
  </si>
  <si>
    <t xml:space="preserve">2. Comptes individuels, éliminations et compte de résultat consolidé</t>
  </si>
  <si>
    <t xml:space="preserve">Poste (k€)</t>
  </si>
  <si>
    <t xml:space="preserve">Mère M</t>
  </si>
  <si>
    <t xml:space="preserve">Filiale F1</t>
  </si>
  <si>
    <t xml:space="preserve">Filiale F2</t>
  </si>
  <si>
    <t xml:space="preserve">Cumul</t>
  </si>
  <si>
    <t xml:space="preserve">Élim. ventes M→F1</t>
  </si>
  <si>
    <t xml:space="preserve">Élim. frais de gestion</t>
  </si>
  <si>
    <t xml:space="preserve">Élim. marge sur stock</t>
  </si>
  <si>
    <t xml:space="preserve">Consolidé</t>
  </si>
  <si>
    <t xml:space="preserve">Chiffre d'affaires</t>
  </si>
  <si>
    <t xml:space="preserve">Achats consommés</t>
  </si>
  <si>
    <t xml:space="preserve">Charges externes</t>
  </si>
  <si>
    <t xml:space="preserve">Charges de personnel</t>
  </si>
  <si>
    <t xml:space="preserve">Impôt sur les résultats</t>
  </si>
  <si>
    <t xml:space="preserve">Résultat net</t>
  </si>
  <si>
    <t xml:space="preserve">Intérêts minoritaires (quote-part de F2)</t>
  </si>
  <si>
    <t xml:space="preserve">Résultat net – part du groupe</t>
  </si>
  <si>
    <t xml:space="preserve">Contrôle : éliminations ventes et frais sans impact sur le résultat (doit être « - »)</t>
  </si>
  <si>
    <t xml:space="preserve">3. Réconciliation des soldes intragroupe à la clôture</t>
  </si>
  <si>
    <t xml:space="preserve">Seuil de tolérance (k€)</t>
  </si>
  <si>
    <t xml:space="preserve">Couple / nature</t>
  </si>
  <si>
    <t xml:space="preserve">Créance chez</t>
  </si>
  <si>
    <t xml:space="preserve">Montant créance</t>
  </si>
  <si>
    <t xml:space="preserve">Dette chez</t>
  </si>
  <si>
    <t xml:space="preserve">Montant dette</t>
  </si>
  <si>
    <t xml:space="preserve">Explication (à rédiger)</t>
  </si>
  <si>
    <t xml:space="preserve">M / F1 – clients / fournisseurs</t>
  </si>
  <si>
    <t xml:space="preserve">M</t>
  </si>
  <si>
    <t xml:space="preserve">F1</t>
  </si>
  <si>
    <t xml:space="preserve">Ex. : facture de 20 k€ en transit, reçue par F1 le mois suivant</t>
  </si>
  <si>
    <t xml:space="preserve">M / F2 – frais de gestion</t>
  </si>
  <si>
    <t xml:space="preserve">F2</t>
  </si>
  <si>
    <t xml:space="preserve">F1 / F2 – prêt intragroupe</t>
  </si>
  <si>
    <t xml:space="preserve">F2 / M – refacturation de personnel</t>
  </si>
  <si>
    <t xml:space="preserve">Nombre d'écarts à analyser</t>
  </si>
  <si>
    <t xml:space="preserve">Questions : (1) Pourquoi l'élimination des ventes ne change-t-elle pas le résultat ? (2) Que devient la marge sur stock si F1 a tout revendu ? (3) Comment traiter l'écart F2 / M de 7 k€ avant la remontée de la liasse ?</t>
  </si>
  <si>
    <t xml:space="preserve">Exercice – Intégrer une société acquise : mapping plan de comptes local → plan de comptes groupe</t>
  </si>
  <si>
    <t xml:space="preserve">1) Compléter la table de mapping (cellules jaunes). 2) Vérifier qu'aucun compte n'est « Non mappé ». 3) Contrôler que le total groupe = total local.</t>
  </si>
  <si>
    <t xml:space="preserve">Compte local</t>
  </si>
  <si>
    <t xml:space="preserve">Libellé local</t>
  </si>
  <si>
    <t xml:space="preserve">Solde (k€)</t>
  </si>
  <si>
    <t xml:space="preserve">Compte groupe</t>
  </si>
  <si>
    <t xml:space="preserve">Libellé groupe</t>
  </si>
  <si>
    <t xml:space="preserve">Total agrégé (k€)</t>
  </si>
  <si>
    <t xml:space="preserve">601000</t>
  </si>
  <si>
    <t xml:space="preserve">Achats matières premières</t>
  </si>
  <si>
    <t xml:space="preserve">G-ACH</t>
  </si>
  <si>
    <t xml:space="preserve">602200</t>
  </si>
  <si>
    <t xml:space="preserve">Achats emballages</t>
  </si>
  <si>
    <t xml:space="preserve">G-EXT</t>
  </si>
  <si>
    <t xml:space="preserve">604000</t>
  </si>
  <si>
    <t xml:space="preserve">Sous-traitance</t>
  </si>
  <si>
    <t xml:space="preserve">G-PER</t>
  </si>
  <si>
    <t xml:space="preserve">606100</t>
  </si>
  <si>
    <t xml:space="preserve">Énergie</t>
  </si>
  <si>
    <t xml:space="preserve">G-AMO</t>
  </si>
  <si>
    <t xml:space="preserve">Dotations aux amortissements</t>
  </si>
  <si>
    <t xml:space="preserve">613200</t>
  </si>
  <si>
    <t xml:space="preserve">Locations immobilières</t>
  </si>
  <si>
    <t xml:space="preserve">G-FIN</t>
  </si>
  <si>
    <t xml:space="preserve">Résultat financier</t>
  </si>
  <si>
    <t xml:space="preserve">622600</t>
  </si>
  <si>
    <t xml:space="preserve">Honoraires</t>
  </si>
  <si>
    <t xml:space="preserve">G-IS</t>
  </si>
  <si>
    <t xml:space="preserve">625100</t>
  </si>
  <si>
    <t xml:space="preserve">Déplacements</t>
  </si>
  <si>
    <t xml:space="preserve">Total groupe</t>
  </si>
  <si>
    <t xml:space="preserve">641100</t>
  </si>
  <si>
    <t xml:space="preserve">Salaires</t>
  </si>
  <si>
    <t xml:space="preserve">Comptes non mappés</t>
  </si>
  <si>
    <t xml:space="preserve">645100</t>
  </si>
  <si>
    <t xml:space="preserve">Charges sociales</t>
  </si>
  <si>
    <t xml:space="preserve">Écart total local – groupe</t>
  </si>
  <si>
    <t xml:space="preserve">681100</t>
  </si>
  <si>
    <t xml:space="preserve">661100</t>
  </si>
  <si>
    <t xml:space="preserve">Intérêts d'emprunts</t>
  </si>
  <si>
    <t xml:space="preserve">695000</t>
  </si>
  <si>
    <t xml:space="preserve">Impôt sur les bénéfices</t>
  </si>
  <si>
    <t xml:space="preserve">Total local</t>
  </si>
  <si>
    <t xml:space="preserve">Bon réflexe : un contrôle « comptes non mappés = 0 » et « écart = 0 » est bloquant avant toute remontée dans l'outil de consolidation. La même logique s'applique au plan analytique (centres de coûts locaux → axes groupe).</t>
  </si>
  <si>
    <t xml:space="preserve">Données mensuelles des indicateurs – filiale agroalimentaire (fictif)</t>
  </si>
  <si>
    <t xml:space="preserve">Budget et réel par mois. Saisir le réel chaque mois (cellules jaunes) : le tableau de bord se met à jour. Réel connu jusqu'en septembre.</t>
  </si>
  <si>
    <t xml:space="preserve">BUDGET – Indicateur</t>
  </si>
  <si>
    <t xml:space="preserve">Unité</t>
  </si>
  <si>
    <t xml:space="preserve">Sens favorable</t>
  </si>
  <si>
    <t xml:space="preserve">Agrégation</t>
  </si>
  <si>
    <t xml:space="preserve">Janv.</t>
  </si>
  <si>
    <t xml:space="preserve">Févr.</t>
  </si>
  <si>
    <t xml:space="preserve">Mars</t>
  </si>
  <si>
    <t xml:space="preserve">Avr.</t>
  </si>
  <si>
    <t xml:space="preserve">Mai</t>
  </si>
  <si>
    <t xml:space="preserve">Juin</t>
  </si>
  <si>
    <t xml:space="preserve">Juil.</t>
  </si>
  <si>
    <t xml:space="preserve">Août</t>
  </si>
  <si>
    <t xml:space="preserve">Sept.</t>
  </si>
  <si>
    <t xml:space="preserve">Oct.</t>
  </si>
  <si>
    <t xml:space="preserve">Nov.</t>
  </si>
  <si>
    <t xml:space="preserve">Déc.</t>
  </si>
  <si>
    <t xml:space="preserve">k€</t>
  </si>
  <si>
    <t xml:space="preserve">Hausse</t>
  </si>
  <si>
    <t xml:space="preserve">Somme</t>
  </si>
  <si>
    <t xml:space="preserve">Taux de marge brute</t>
  </si>
  <si>
    <t xml:space="preserve">%</t>
  </si>
  <si>
    <t xml:space="preserve">Coût de revient</t>
  </si>
  <si>
    <t xml:space="preserve">€/kg</t>
  </si>
  <si>
    <t xml:space="preserve">Baisse</t>
  </si>
  <si>
    <t xml:space="preserve">Volumes produits</t>
  </si>
  <si>
    <t xml:space="preserve">t</t>
  </si>
  <si>
    <t xml:space="preserve">Taux de service client</t>
  </si>
  <si>
    <t xml:space="preserve">Taux d'absentéisme</t>
  </si>
  <si>
    <t xml:space="preserve">DSO (délai de paiement clients)</t>
  </si>
  <si>
    <t xml:space="preserve">jours</t>
  </si>
  <si>
    <t xml:space="preserve">RÉEL – Indicateur</t>
  </si>
  <si>
    <t xml:space="preserve">Tableau de bord mensuel – Filiale agroalimentaire (fictif)</t>
  </si>
  <si>
    <t xml:space="preserve">Choisir le mois (cellule jaune). Feux : vert = conforme ou favorable · orange = défavorable dans la tolérance · rouge = défavorable au-delà.</t>
  </si>
  <si>
    <t xml:space="preserve">Mois de reporting (1-12)</t>
  </si>
  <si>
    <t xml:space="preserve">Tolérance orange (écart défavorable max.)</t>
  </si>
  <si>
    <t xml:space="preserve">Indicateur</t>
  </si>
  <si>
    <t xml:space="preserve">Sens</t>
  </si>
  <si>
    <t xml:space="preserve">Budget mois</t>
  </si>
  <si>
    <t xml:space="preserve">Réel mois</t>
  </si>
  <si>
    <t xml:space="preserve">Écart %</t>
  </si>
  <si>
    <t xml:space="preserve">Feu</t>
  </si>
  <si>
    <t xml:space="preserve">Budget cumul</t>
  </si>
  <si>
    <t xml:space="preserve">Réel cumul</t>
  </si>
  <si>
    <t xml:space="preserve">Écart cumul %</t>
  </si>
  <si>
    <t xml:space="preserve">Feu cumul</t>
  </si>
  <si>
    <t xml:space="preserve">Indicateurs au rouge ce mois</t>
  </si>
  <si>
    <t xml:space="preserve">Commentaire du mois (à rédiger)</t>
  </si>
  <si>
    <t xml:space="preserve">Ex. : dérive du coût de revient depuis juillet (+1 % vs budget en septembre) liée au prix des matières ; voir plan d'actions.</t>
  </si>
  <si>
    <t xml:space="preserve">Analyse des écarts négatifs : Pareto des causes et plan d'actions correctives (fictif)</t>
  </si>
  <si>
    <t xml:space="preserve">Cas : le coût de revient dépasse le budget depuis juillet (environ +1 %). Les causes sont classées par impact décroissant (loi 80/20).</t>
  </si>
  <si>
    <t xml:space="preserve">Cause identifiée</t>
  </si>
  <si>
    <t xml:space="preserve">Impact annuel estimé (k€)</t>
  </si>
  <si>
    <t xml:space="preserve">% du total</t>
  </si>
  <si>
    <t xml:space="preserve">% cumulé</t>
  </si>
  <si>
    <t xml:space="preserve">Classe</t>
  </si>
  <si>
    <t xml:space="preserve">Hausse du prix des matières premières</t>
  </si>
  <si>
    <t xml:space="preserve">Classe A : causes qui expliquent ~80 % de l'écart → priorité des actions.</t>
  </si>
  <si>
    <t xml:space="preserve">Rendement matière dégradé (pertes)</t>
  </si>
  <si>
    <t xml:space="preserve">Heures supplémentaires / intérim</t>
  </si>
  <si>
    <t xml:space="preserve">Arrêts de ligne non planifiés</t>
  </si>
  <si>
    <t xml:space="preserve">Coût de l'énergie</t>
  </si>
  <si>
    <t xml:space="preserve">Emballages non conformes</t>
  </si>
  <si>
    <t xml:space="preserve">Divers</t>
  </si>
  <si>
    <t xml:space="preserve">Total</t>
  </si>
  <si>
    <t xml:space="preserve">Plan d'actions correctives</t>
  </si>
  <si>
    <t xml:space="preserve">Cause (classe A/B)</t>
  </si>
  <si>
    <t xml:space="preserve">Action</t>
  </si>
  <si>
    <t xml:space="preserve">Responsable</t>
  </si>
  <si>
    <t xml:space="preserve">Échéance</t>
  </si>
  <si>
    <t xml:space="preserve">Gain annuel attendu (k€)</t>
  </si>
  <si>
    <t xml:space="preserve">Gain constaté (k€)</t>
  </si>
  <si>
    <t xml:space="preserve">Indicateur de suivi</t>
  </si>
  <si>
    <t xml:space="preserve">Renégocier les contrats d'achat et indexer les prix de vente</t>
  </si>
  <si>
    <t xml:space="preserve">Directeur achats</t>
  </si>
  <si>
    <t xml:space="preserve">2026-12-31</t>
  </si>
  <si>
    <t xml:space="preserve">En cours</t>
  </si>
  <si>
    <t xml:space="preserve">Prix moyen d'achat €/kg</t>
  </si>
  <si>
    <t xml:space="preserve">Suivi quotidien des pertes par ligne + formation opérateurs</t>
  </si>
  <si>
    <t xml:space="preserve">Responsable production</t>
  </si>
  <si>
    <t xml:space="preserve">2026-11-30</t>
  </si>
  <si>
    <t xml:space="preserve">Rendement matière %</t>
  </si>
  <si>
    <t xml:space="preserve">Revoir la planification des équipes selon les volumes</t>
  </si>
  <si>
    <t xml:space="preserve">Responsable RH site</t>
  </si>
  <si>
    <t xml:space="preserve">2026-11-15</t>
  </si>
  <si>
    <t xml:space="preserve">Heures sup. / mois</t>
  </si>
  <si>
    <t xml:space="preserve">Total gains</t>
  </si>
  <si>
    <t xml:space="preserve">Couverture de l'écart par les gains attendus</t>
  </si>
  <si>
    <t xml:space="preserve">Actions terminées</t>
  </si>
  <si>
    <t xml:space="preserve">Grille d'audit des bonnes pratiques comptables – filiales (exemple pré-rempli)</t>
  </si>
  <si>
    <t xml:space="preserve">Pour chaque point : Conforme / Non conforme / N.A. Le score exclut les N.A. Exemple fictif à remplacer par vos constats.</t>
  </si>
  <si>
    <t xml:space="preserve">Cycle</t>
  </si>
  <si>
    <t xml:space="preserve">Point de contrôle</t>
  </si>
  <si>
    <t xml:space="preserve">Risque couvert</t>
  </si>
  <si>
    <t xml:space="preserve">Test à réaliser</t>
  </si>
  <si>
    <t xml:space="preserve">Filiale A</t>
  </si>
  <si>
    <t xml:space="preserve">Filiale B</t>
  </si>
  <si>
    <t xml:space="preserve">Filiale C</t>
  </si>
  <si>
    <t xml:space="preserve">Clôture</t>
  </si>
  <si>
    <t xml:space="preserve">Calendrier de clôture respecté (liasse remontée à J+5)</t>
  </si>
  <si>
    <t xml:space="preserve">Retard de consolidation</t>
  </si>
  <si>
    <t xml:space="preserve">Comparer dates de remontée vs calendrier</t>
  </si>
  <si>
    <t xml:space="preserve">Conforme</t>
  </si>
  <si>
    <t xml:space="preserve">Non conforme</t>
  </si>
  <si>
    <t xml:space="preserve">Revue analytique mensuelle documentée</t>
  </si>
  <si>
    <t xml:space="preserve">Erreurs non détectées</t>
  </si>
  <si>
    <t xml:space="preserve">Obtenir la revue et les justifications d'écarts</t>
  </si>
  <si>
    <t xml:space="preserve">Achats</t>
  </si>
  <si>
    <t xml:space="preserve">Séparation des tâches commande / réception / paiement</t>
  </si>
  <si>
    <t xml:space="preserve">Fraude, paiements indus</t>
  </si>
  <si>
    <t xml:space="preserve">Revoir les droits utilisateurs ERP</t>
  </si>
  <si>
    <t xml:space="preserve">Factures non parvenues provisionnées</t>
  </si>
  <si>
    <t xml:space="preserve">Charges sous-évaluées</t>
  </si>
  <si>
    <t xml:space="preserve">Tester les réceptions non facturées</t>
  </si>
  <si>
    <t xml:space="preserve">Ventes</t>
  </si>
  <si>
    <t xml:space="preserve">Rapprochement livraisons / facturation</t>
  </si>
  <si>
    <t xml:space="preserve">CA non facturé ou fictif</t>
  </si>
  <si>
    <t xml:space="preserve">Échantillon de 25 bons de livraison</t>
  </si>
  <si>
    <t xml:space="preserve">Balance âgée clients revue et provisions justifiées</t>
  </si>
  <si>
    <t xml:space="preserve">Créances douteuses non provisionnées</t>
  </si>
  <si>
    <t xml:space="preserve">Analyser les créances &gt; 90 jours</t>
  </si>
  <si>
    <t xml:space="preserve">Stocks</t>
  </si>
  <si>
    <t xml:space="preserve">Inventaire physique et traitement des écarts</t>
  </si>
  <si>
    <t xml:space="preserve">Stock surévalué</t>
  </si>
  <si>
    <t xml:space="preserve">Assister à un inventaire tournant</t>
  </si>
  <si>
    <t xml:space="preserve">N.A.</t>
  </si>
  <si>
    <t xml:space="preserve">Valorisation au coût de revient à jour</t>
  </si>
  <si>
    <t xml:space="preserve">Marge erronée</t>
  </si>
  <si>
    <t xml:space="preserve">Recalculer 10 coûts de revient</t>
  </si>
  <si>
    <t xml:space="preserve">Trésorerie</t>
  </si>
  <si>
    <t xml:space="preserve">Rapprochements bancaires mensuels signés</t>
  </si>
  <si>
    <t xml:space="preserve">Détournement, erreurs</t>
  </si>
  <si>
    <t xml:space="preserve">Vérifier les 3 derniers rapprochements</t>
  </si>
  <si>
    <t xml:space="preserve">Pouvoirs bancaires à jour</t>
  </si>
  <si>
    <t xml:space="preserve">Paiements non autorisés</t>
  </si>
  <si>
    <t xml:space="preserve">Comparer pouvoirs et organigramme</t>
  </si>
  <si>
    <t xml:space="preserve">Paie</t>
  </si>
  <si>
    <t xml:space="preserve">Contrôle des variables de paie avant validation</t>
  </si>
  <si>
    <t xml:space="preserve">Erreurs de paie</t>
  </si>
  <si>
    <t xml:space="preserve">Revoir le contrôle sur 2 mois</t>
  </si>
  <si>
    <t xml:space="preserve">Immobilisations</t>
  </si>
  <si>
    <t xml:space="preserve">Mises au rebut et cessions comptabilisées</t>
  </si>
  <si>
    <t xml:space="preserve">Actifs surévalués</t>
  </si>
  <si>
    <t xml:space="preserve">Rapprocher fichier des immobilisations et terrain</t>
  </si>
  <si>
    <t xml:space="preserve">Intragroupe</t>
  </si>
  <si>
    <t xml:space="preserve">Soldes intragroupe rapprochés avant remontée</t>
  </si>
  <si>
    <t xml:space="preserve">Écarts d'élimination</t>
  </si>
  <si>
    <t xml:space="preserve">Comparer soldes réciproques</t>
  </si>
  <si>
    <t xml:space="preserve">Conventions de refacturation signées</t>
  </si>
  <si>
    <t xml:space="preserve">Risque fiscal</t>
  </si>
  <si>
    <t xml:space="preserve">Obtenir les conventions</t>
  </si>
  <si>
    <t xml:space="preserve">Analytique</t>
  </si>
  <si>
    <t xml:space="preserve">Mapping comptes / centres conforme au référentiel groupe</t>
  </si>
  <si>
    <t xml:space="preserve">Reporting faussé</t>
  </si>
  <si>
    <t xml:space="preserve">Contrôler les comptes non mappés</t>
  </si>
  <si>
    <t xml:space="preserve">Points conformes</t>
  </si>
  <si>
    <t xml:space="preserve">Points non conformes</t>
  </si>
  <si>
    <t xml:space="preserve">Score de conformité</t>
  </si>
  <si>
    <t xml:space="preserve">Appréciation</t>
  </si>
  <si>
    <t xml:space="preserve">Calendrier type de clôture mensuelle et de consolidation</t>
  </si>
  <si>
    <t xml:space="preserve">Adapter les jours au calendrier de votre groupe. Mettre à jour les statuts chaque mois.</t>
  </si>
  <si>
    <t xml:space="preserve">Jour</t>
  </si>
  <si>
    <t xml:space="preserve">Étape</t>
  </si>
  <si>
    <t xml:space="preserve">Livrable / contrôle</t>
  </si>
  <si>
    <t xml:space="preserve">J-2</t>
  </si>
  <si>
    <t xml:space="preserve">Cut-off : arrêt des saisies achats/ventes, envoi des instructions de clôture</t>
  </si>
  <si>
    <t xml:space="preserve">Filiales / groupe</t>
  </si>
  <si>
    <t xml:space="preserve">Instructions envoyées</t>
  </si>
  <si>
    <t xml:space="preserve">J-1</t>
  </si>
  <si>
    <t xml:space="preserve">Pré-rapprochement des soldes intragroupe</t>
  </si>
  <si>
    <t xml:space="preserve">Filiales</t>
  </si>
  <si>
    <t xml:space="preserve">Confirmations intragroupe</t>
  </si>
  <si>
    <t xml:space="preserve">J+1</t>
  </si>
  <si>
    <t xml:space="preserve">Écritures d'inventaire : FNP, CCA, provisions, stocks</t>
  </si>
  <si>
    <t xml:space="preserve">Balance provisoire</t>
  </si>
  <si>
    <t xml:space="preserve">J+2</t>
  </si>
  <si>
    <t xml:space="preserve">Rapprochements bancaires et revue analytique locale</t>
  </si>
  <si>
    <t xml:space="preserve">Justifications d'écarts</t>
  </si>
  <si>
    <t xml:space="preserve">J+3</t>
  </si>
  <si>
    <t xml:space="preserve">Remontée des liasses dans l'outil de consolidation</t>
  </si>
  <si>
    <t xml:space="preserve">Liasse soumise, contrôles bloquants OK</t>
  </si>
  <si>
    <t xml:space="preserve">J+4</t>
  </si>
  <si>
    <t xml:space="preserve">Revue des liasses par le groupe, corrections</t>
  </si>
  <si>
    <t xml:space="preserve">Contrôle de gestion groupe</t>
  </si>
  <si>
    <t xml:space="preserve">Liasses validées</t>
  </si>
  <si>
    <t xml:space="preserve">J+5</t>
  </si>
  <si>
    <t xml:space="preserve">Éliminations intragroupe et traitements de consolidation</t>
  </si>
  <si>
    <t xml:space="preserve">Consolidation groupe</t>
  </si>
  <si>
    <t xml:space="preserve">Écarts intragroupe soldés</t>
  </si>
  <si>
    <t xml:space="preserve">J+6</t>
  </si>
  <si>
    <t xml:space="preserve">Analyse des résultats consolidés vs budget et N-1</t>
  </si>
  <si>
    <t xml:space="preserve">Bridge et commentaires</t>
  </si>
  <si>
    <t xml:space="preserve">J+7</t>
  </si>
  <si>
    <t xml:space="preserve">Production du tableau de bord consolidé</t>
  </si>
  <si>
    <t xml:space="preserve">Tableau de bord</t>
  </si>
  <si>
    <t xml:space="preserve">J+8</t>
  </si>
  <si>
    <t xml:space="preserve">Diffusion au comité de direction, plan d'actions</t>
  </si>
  <si>
    <t xml:space="preserve">Tableau de bord diffusé</t>
  </si>
  <si>
    <t xml:space="preserve">Avancement de la clôture</t>
  </si>
  <si>
    <t xml:space="preserve">Ressources recommandées</t>
  </si>
  <si>
    <t xml:space="preserve">Vérifier les éditions les plus récentes avant achat.</t>
  </si>
  <si>
    <t xml:space="preserve">Type</t>
  </si>
  <si>
    <t xml:space="preserve">Auteur / éditeur</t>
  </si>
  <si>
    <t xml:space="preserve">Accès</t>
  </si>
  <si>
    <t xml:space="preserve">Usage conseillé</t>
  </si>
  <si>
    <t xml:space="preserve">C1, C8</t>
  </si>
  <si>
    <t xml:space="preserve">Livre</t>
  </si>
  <si>
    <t xml:space="preserve">DSCG 4 – Comptabilité et audit, Manuel et applications</t>
  </si>
  <si>
    <t xml:space="preserve">R. Obert &amp; M.-P. Mairesse – Dunod</t>
  </si>
  <si>
    <t xml:space="preserve">Payant</t>
  </si>
  <si>
    <t xml:space="preserve">Consolidation (règles françaises) et audit</t>
  </si>
  <si>
    <t xml:space="preserve">Pratique des normes IFRS</t>
  </si>
  <si>
    <t xml:space="preserve">Robert Obert – Dunod</t>
  </si>
  <si>
    <t xml:space="preserve">Consolidation en IFRS (IFRS 3, 10, 11, IAS 21)</t>
  </si>
  <si>
    <t xml:space="preserve">Réglementation</t>
  </si>
  <si>
    <t xml:space="preserve">Règlement ANC n° 2020-01 relatif aux comptes consolidés</t>
  </si>
  <si>
    <t xml:space="preserve">Autorité des normes comptables – anc.gouv.fr</t>
  </si>
  <si>
    <t xml:space="preserve">Gratuit</t>
  </si>
  <si>
    <t xml:space="preserve">Règles françaises de consolidation</t>
  </si>
  <si>
    <t xml:space="preserve">Normes</t>
  </si>
  <si>
    <t xml:space="preserve">IFRS 10, IFRS 3, IAS 21</t>
  </si>
  <si>
    <t xml:space="preserve">IFRS Foundation – ifrs.org</t>
  </si>
  <si>
    <t xml:space="preserve">Gratuit (inscription)</t>
  </si>
  <si>
    <t xml:space="preserve">Contrôle, regroupements, conversion</t>
  </si>
  <si>
    <t xml:space="preserve">Éditeur</t>
  </si>
  <si>
    <t xml:space="preserve">CCH Tagetik – documentation et formations</t>
  </si>
  <si>
    <t xml:space="preserve">Wolters Kluwer</t>
  </si>
  <si>
    <t xml:space="preserve">Selon licence</t>
  </si>
  <si>
    <t xml:space="preserve">Paramétrage, workflow, consolidation</t>
  </si>
  <si>
    <t xml:space="preserve">The Balanced Scorecard</t>
  </si>
  <si>
    <t xml:space="preserve">R. S. Kaplan &amp; D. P. Norton – Harvard Business School Press</t>
  </si>
  <si>
    <t xml:space="preserve">Relier stratégie et indicateurs</t>
  </si>
  <si>
    <t xml:space="preserve">C5, C6</t>
  </si>
  <si>
    <t xml:space="preserve">Les nouveaux tableaux de bord des managers</t>
  </si>
  <si>
    <t xml:space="preserve">Alain Fernandez – Eyrolles</t>
  </si>
  <si>
    <t xml:space="preserve">Méthode de conception de tableaux de bord</t>
  </si>
  <si>
    <t xml:space="preserve">Information Dashboard Design</t>
  </si>
  <si>
    <t xml:space="preserve">Stephen Few – Analytics Press</t>
  </si>
  <si>
    <t xml:space="preserve">Lisibilité et design des tableaux de bord</t>
  </si>
  <si>
    <t xml:space="preserve">Référentiel</t>
  </si>
  <si>
    <t xml:space="preserve">Internal Control – Integrated Framework (2013)</t>
  </si>
  <si>
    <t xml:space="preserve">COSO – coso.org</t>
  </si>
  <si>
    <t xml:space="preserve">Synthèse gratuite</t>
  </si>
  <si>
    <t xml:space="preserve">Cadre du contrôle interne</t>
  </si>
  <si>
    <t xml:space="preserve">Cadre de référence du contrôle interne</t>
  </si>
  <si>
    <t xml:space="preserve">AMF – amf-france.org</t>
  </si>
  <si>
    <t xml:space="preserve">Version française appliquée aux sociétés</t>
  </si>
  <si>
    <t xml:space="preserve">Réseau</t>
  </si>
  <si>
    <t xml:space="preserve">IFACI – Institut français de l'audit et du contrôle internes</t>
  </si>
  <si>
    <t xml:space="preserve">ifaci.com</t>
  </si>
  <si>
    <t xml:space="preserve">Adhésion / formations</t>
  </si>
  <si>
    <t xml:space="preserve">Méthodes d'audit, certifications</t>
  </si>
  <si>
    <t xml:space="preserve">Site</t>
  </si>
  <si>
    <t xml:space="preserve">Ressources sur l'ingénierie de formation</t>
  </si>
  <si>
    <t xml:space="preserve">Centre Inffo – centre-inffo.fr</t>
  </si>
  <si>
    <t xml:space="preserve">Construire une action de formation</t>
  </si>
  <si>
    <t xml:space="preserve">Rappel</t>
  </si>
  <si>
    <t xml:space="preserve">Plan 1</t>
  </si>
  <si>
    <t xml:space="preserve">Excel, Power Query, Power BI, écarts, gestion de projet</t>
  </si>
  <si>
    <t xml:space="preserve">Voir le premier classeur</t>
  </si>
  <si>
    <t xml:space="preserve">-</t>
  </si>
  <si>
    <t xml:space="preserve">Compétences déjà couvertes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</si>
</sst>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;\(0.0%\);\-"/>
    <numFmt numFmtId="167" formatCode="0"/>
    <numFmt numFmtId="168" formatCode="0%"/>
    <numFmt numFmtId="169" formatCode="#,##0;\(#,##0\);\-"/>
    <numFmt numFmtId="170" formatCode="General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d'avancement par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bord'!F14</c:f>
              <c:strCache>
                <c:ptCount val="1"/>
                <c:pt idx="0">
                  <c:v>% avancement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bord'!$B$15:$B$24</c:f>
              <c:strCache>
                <c:ptCount val="10"/>
                <c:pt idx="0">
                  <c:v>Consolidation des comptes – fondamentaux</c:v>
                </c:pt>
                <c:pt idx="1">
                  <c:v>Clôtures mensuelles &amp; fiabilisation</c:v>
                </c:pt>
                <c:pt idx="2">
                  <c:v>Tagetik &amp; outils de consolidation</c:v>
                </c:pt>
                <c:pt idx="3">
                  <c:v>Intégration de sociétés acquises</c:v>
                </c:pt>
                <c:pt idx="4">
                  <c:v>Conception d'indicateurs (KPI)</c:v>
                </c:pt>
                <c:pt idx="5">
                  <c:v>Tableaux de bord &amp; diffusion</c:v>
                </c:pt>
                <c:pt idx="6">
                  <c:v>Analyse de performance &amp; plans d'actions</c:v>
                </c:pt>
                <c:pt idx="7">
                  <c:v>Audit financier &amp; contrôle interne</c:v>
                </c:pt>
                <c:pt idx="8">
                  <c:v>Former les collaborateurs</c:v>
                </c:pt>
                <c:pt idx="9">
                  <c:v>Projet de synthèse</c:v>
                </c:pt>
              </c:strCache>
            </c:strRef>
          </c:cat>
          <c:val>
            <c:numRef>
              <c:f>'Tableau de bord'!$F$15:$F$24</c:f>
              <c:numCache>
                <c:formatCode>0.0%;\(0.0%\);\-</c:formatCode>
                <c:ptCount val="10"/>
                <c:pt idx="0">
                  <c:v>0.25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7853924"/>
        <c:axId val="61917277"/>
      </c:barChart>
      <c:catAx>
        <c:axId val="878539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17277"/>
        <c:crosses val="autoZero"/>
        <c:auto val="1"/>
        <c:lblAlgn val="ctr"/>
        <c:lblOffset val="100"/>
        <c:noMultiLvlLbl val="0"/>
      </c:catAx>
      <c:valAx>
        <c:axId val="6191727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53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de revient (€/kg) – budget vs réel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'KPI Données'!$E$4:$P$4</c:f>
              <c:multiLvlStrCache>
                <c:ptCount val="1"/>
                <c:lvl>
                  <c:pt idx="0">
                    <c:v>Déc.</c:v>
                  </c:pt>
                </c:lvl>
                <c:lvl>
                  <c:pt idx="0">
                    <c:v>Nov.</c:v>
                  </c:pt>
                </c:lvl>
                <c:lvl>
                  <c:pt idx="0">
                    <c:v>Oct.</c:v>
                  </c:pt>
                </c:lvl>
                <c:lvl>
                  <c:pt idx="0">
                    <c:v>Sept.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Juil.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Avr.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Févr.</c:v>
                  </c:pt>
                </c:lvl>
                <c:lvl>
                  <c:pt idx="0">
                    <c:v>Janv.</c:v>
                  </c:pt>
                </c:lvl>
              </c:multiLvlStrCache>
            </c:multiLvlStrRef>
          </c:cat>
          <c:val>
            <c:numRef>
              <c:f>'KPI Données'!$E$7:$P$7</c:f>
              <c:numCache>
                <c:formatCode>0.00</c:formatCode>
                <c:ptCount val="12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  <c:pt idx="7">
                  <c:v>3.1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"Réel"</c:f>
              <c:strCache>
                <c:ptCount val="1"/>
                <c:pt idx="0">
                  <c:v>Réel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'KPI Données'!$E$4:$P$4</c:f>
              <c:multiLvlStrCache>
                <c:ptCount val="1"/>
                <c:lvl>
                  <c:pt idx="0">
                    <c:v>Déc.</c:v>
                  </c:pt>
                </c:lvl>
                <c:lvl>
                  <c:pt idx="0">
                    <c:v>Nov.</c:v>
                  </c:pt>
                </c:lvl>
                <c:lvl>
                  <c:pt idx="0">
                    <c:v>Oct.</c:v>
                  </c:pt>
                </c:lvl>
                <c:lvl>
                  <c:pt idx="0">
                    <c:v>Sept.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Juil.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Avr.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Févr.</c:v>
                  </c:pt>
                </c:lvl>
                <c:lvl>
                  <c:pt idx="0">
                    <c:v>Janv.</c:v>
                  </c:pt>
                </c:lvl>
              </c:multiLvlStrCache>
            </c:multiLvlStrRef>
          </c:cat>
          <c:val>
            <c:numRef>
              <c:f>'KPI Données'!$E$17:$P$17</c:f>
              <c:numCache>
                <c:formatCode>0.00</c:formatCode>
                <c:ptCount val="12"/>
                <c:pt idx="0">
                  <c:v>3.1086</c:v>
                </c:pt>
                <c:pt idx="1">
                  <c:v>3.0885</c:v>
                </c:pt>
                <c:pt idx="2">
                  <c:v>3.1532</c:v>
                </c:pt>
                <c:pt idx="3">
                  <c:v>3.0494</c:v>
                </c:pt>
                <c:pt idx="4">
                  <c:v>3.14</c:v>
                </c:pt>
                <c:pt idx="5">
                  <c:v>3.0765</c:v>
                </c:pt>
                <c:pt idx="6">
                  <c:v>3.1161</c:v>
                </c:pt>
                <c:pt idx="7">
                  <c:v>3.1131</c:v>
                </c:pt>
                <c:pt idx="8">
                  <c:v>3.1344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203758"/>
        <c:axId val="4992787"/>
      </c:lineChart>
      <c:catAx>
        <c:axId val="87203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2787"/>
        <c:crosses val="autoZero"/>
        <c:auto val="1"/>
        <c:lblAlgn val="ctr"/>
        <c:lblOffset val="100"/>
        <c:noMultiLvlLbl val="0"/>
      </c:catAx>
      <c:valAx>
        <c:axId val="4992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03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des causes (k€)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'Plan d''actions'!B4</c:f>
              <c:strCache>
                <c:ptCount val="1"/>
                <c:pt idx="0">
                  <c:v>Impact annuel estimé (k€)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d''actions'!$A$5:$A$11</c:f>
              <c:strCache>
                <c:ptCount val="7"/>
                <c:pt idx="0">
                  <c:v>Hausse du prix des matières premières</c:v>
                </c:pt>
                <c:pt idx="1">
                  <c:v>Rendement matière dégradé (pertes)</c:v>
                </c:pt>
                <c:pt idx="2">
                  <c:v>Heures supplémentaires / intérim</c:v>
                </c:pt>
                <c:pt idx="3">
                  <c:v>Arrêts de ligne non planifiés</c:v>
                </c:pt>
                <c:pt idx="4">
                  <c:v>Coût de l'énergie</c:v>
                </c:pt>
                <c:pt idx="5">
                  <c:v>Emballages non conformes</c:v>
                </c:pt>
                <c:pt idx="6">
                  <c:v>Divers</c:v>
                </c:pt>
              </c:strCache>
            </c:strRef>
          </c:cat>
          <c:val>
            <c:numRef>
              <c:f>'Plan d''actions'!$B$5:$B$11</c:f>
              <c:numCache>
                <c:formatCode>#,##0;\(#,##0\);\-</c:formatCode>
                <c:ptCount val="7"/>
                <c:pt idx="0">
                  <c:v>310</c:v>
                </c:pt>
                <c:pt idx="1">
                  <c:v>180</c:v>
                </c:pt>
                <c:pt idx="2">
                  <c:v>120</c:v>
                </c:pt>
                <c:pt idx="3">
                  <c:v>75</c:v>
                </c:pt>
                <c:pt idx="4">
                  <c:v>40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</c:ser>
        <c:gapWidth val="150"/>
        <c:overlap val="0"/>
        <c:axId val="59846700"/>
        <c:axId val="36878574"/>
      </c:barChart>
      <c:lineChart>
        <c:grouping val="standard"/>
        <c:varyColors val="0"/>
        <c:ser>
          <c:idx val="1"/>
          <c:order val="1"/>
          <c:tx>
            <c:strRef>
              <c:f>'Plan d''actions'!D4</c:f>
              <c:strCache>
                <c:ptCount val="1"/>
                <c:pt idx="0">
                  <c:v>% cumulé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d''actions'!$A$5:$A$11</c:f>
              <c:strCache>
                <c:ptCount val="7"/>
                <c:pt idx="0">
                  <c:v>Hausse du prix des matières premières</c:v>
                </c:pt>
                <c:pt idx="1">
                  <c:v>Rendement matière dégradé (pertes)</c:v>
                </c:pt>
                <c:pt idx="2">
                  <c:v>Heures supplémentaires / intérim</c:v>
                </c:pt>
                <c:pt idx="3">
                  <c:v>Arrêts de ligne non planifiés</c:v>
                </c:pt>
                <c:pt idx="4">
                  <c:v>Coût de l'énergie</c:v>
                </c:pt>
                <c:pt idx="5">
                  <c:v>Emballages non conformes</c:v>
                </c:pt>
                <c:pt idx="6">
                  <c:v>Divers</c:v>
                </c:pt>
              </c:strCache>
            </c:strRef>
          </c:cat>
          <c:val>
            <c:numRef>
              <c:f>'Plan d''actions'!$D$5:$D$11</c:f>
              <c:numCache>
                <c:formatCode>0.0%;\(0.0%\);\-</c:formatCode>
                <c:ptCount val="7"/>
                <c:pt idx="0">
                  <c:v>0.407894736842105</c:v>
                </c:pt>
                <c:pt idx="1">
                  <c:v>0.644736842105263</c:v>
                </c:pt>
                <c:pt idx="2">
                  <c:v>0.802631578947368</c:v>
                </c:pt>
                <c:pt idx="3">
                  <c:v>0.901315789473684</c:v>
                </c:pt>
                <c:pt idx="4">
                  <c:v>0.953947368421053</c:v>
                </c:pt>
                <c:pt idx="5">
                  <c:v>0.980263157894737</c:v>
                </c:pt>
                <c:pt idx="6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727961"/>
        <c:axId val="66173957"/>
      </c:lineChart>
      <c:catAx>
        <c:axId val="59846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78574"/>
        <c:crosses val="autoZero"/>
        <c:auto val="1"/>
        <c:lblAlgn val="ctr"/>
        <c:lblOffset val="100"/>
        <c:noMultiLvlLbl val="0"/>
      </c:catAx>
      <c:valAx>
        <c:axId val="36878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46700"/>
        <c:crosses val="autoZero"/>
        <c:crossBetween val="between"/>
      </c:valAx>
      <c:catAx>
        <c:axId val="7672796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73957"/>
        <c:crosses val="autoZero"/>
        <c:auto val="1"/>
        <c:lblAlgn val="ctr"/>
        <c:lblOffset val="100"/>
        <c:noMultiLvlLbl val="0"/>
      </c:catAx>
      <c:valAx>
        <c:axId val="66173957"/>
        <c:scaling>
          <c:orientation val="minMax"/>
          <c:max val="1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2796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18360</xdr:rowOff>
    </xdr:from>
    <xdr:to>
      <xdr:col>3</xdr:col>
      <xdr:colOff>840960</xdr:colOff>
      <xdr:row>44</xdr:row>
      <xdr:rowOff>19800</xdr:rowOff>
    </xdr:to>
    <xdr:graphicFrame>
      <xdr:nvGraphicFramePr>
        <xdr:cNvPr id="0" name="Chart 1"/>
        <xdr:cNvGraphicFramePr/>
      </xdr:nvGraphicFramePr>
      <xdr:xfrm>
        <a:off x="0" y="5334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7</xdr:col>
      <xdr:colOff>362520</xdr:colOff>
      <xdr:row>32</xdr:row>
      <xdr:rowOff>153000</xdr:rowOff>
    </xdr:to>
    <xdr:graphicFrame>
      <xdr:nvGraphicFramePr>
        <xdr:cNvPr id="1" name="Chart 1"/>
        <xdr:cNvGraphicFramePr/>
      </xdr:nvGraphicFramePr>
      <xdr:xfrm>
        <a:off x="0" y="3429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130680</xdr:rowOff>
    </xdr:from>
    <xdr:to>
      <xdr:col>14</xdr:col>
      <xdr:colOff>132120</xdr:colOff>
      <xdr:row>19</xdr:row>
      <xdr:rowOff>6120</xdr:rowOff>
    </xdr:to>
    <xdr:graphicFrame>
      <xdr:nvGraphicFramePr>
        <xdr:cNvPr id="2" name="Chart 1"/>
        <xdr:cNvGraphicFramePr/>
      </xdr:nvGraphicFramePr>
      <xdr:xfrm>
        <a:off x="10079280" y="1143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Plan!G31</f>
        <v>78</v>
      </c>
    </row>
    <row r="6" customFormat="false" ht="15" hidden="false" customHeight="false" outlineLevel="0" collapsed="false">
      <c r="A6" s="4" t="s">
        <v>4</v>
      </c>
      <c r="B6" s="5" t="n">
        <f aca="false">Plan!H31</f>
        <v>3</v>
      </c>
    </row>
    <row r="7" customFormat="false" ht="15" hidden="false" customHeight="false" outlineLevel="0" collapsed="false">
      <c r="A7" s="4" t="s">
        <v>5</v>
      </c>
      <c r="B7" s="6" t="n">
        <f aca="false">IFERROR(B6/B5,0)</f>
        <v>0.0384615384615385</v>
      </c>
    </row>
    <row r="8" customFormat="false" ht="15" hidden="false" customHeight="false" outlineLevel="0" collapsed="false">
      <c r="A8" s="4" t="s">
        <v>6</v>
      </c>
      <c r="B8" s="7" t="str">
        <f aca="false">COUNTIF(Plan!I5:I30,"Terminé")&amp;" / "&amp;COUNTA(Plan!D5:D30)</f>
        <v>1 / 26</v>
      </c>
    </row>
    <row r="9" customFormat="false" ht="15" hidden="false" customHeight="false" outlineLevel="0" collapsed="false">
      <c r="A9" s="4" t="s">
        <v>7</v>
      </c>
      <c r="B9" s="5" t="n">
        <f aca="false">Compétences!D16</f>
        <v>2.45454545454545</v>
      </c>
    </row>
    <row r="10" customFormat="false" ht="15" hidden="false" customHeight="false" outlineLevel="0" collapsed="false">
      <c r="A10" s="4" t="s">
        <v>8</v>
      </c>
      <c r="B10" s="5" t="n">
        <f aca="false">Compétences!E16</f>
        <v>4.45454545454545</v>
      </c>
    </row>
    <row r="11" customFormat="false" ht="15" hidden="false" customHeight="false" outlineLevel="0" collapsed="false">
      <c r="A11" s="4" t="s">
        <v>9</v>
      </c>
      <c r="B11" s="8" t="n">
        <f aca="false">COUNTIF(Compétences!G5:G15,"Haute")</f>
        <v>2</v>
      </c>
    </row>
    <row r="13" customFormat="false" ht="1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9" t="s">
        <v>11</v>
      </c>
      <c r="B14" s="9" t="s">
        <v>12</v>
      </c>
      <c r="C14" s="9" t="s">
        <v>13</v>
      </c>
      <c r="D14" s="9" t="s">
        <v>3</v>
      </c>
      <c r="E14" s="9" t="s">
        <v>4</v>
      </c>
      <c r="F14" s="9" t="s">
        <v>14</v>
      </c>
      <c r="G14" s="9" t="s">
        <v>15</v>
      </c>
      <c r="H14" s="9" t="s">
        <v>16</v>
      </c>
      <c r="I14" s="9" t="s">
        <v>17</v>
      </c>
    </row>
    <row r="15" customFormat="false" ht="15" hidden="false" customHeight="false" outlineLevel="0" collapsed="false">
      <c r="A15" s="10" t="s">
        <v>18</v>
      </c>
      <c r="B15" s="11" t="s">
        <v>19</v>
      </c>
      <c r="C15" s="7" t="str">
        <f aca="false">IF(_xlfn.MINIFS(Plan!$A$5:$A$30,Plan!$B$5:$B$30,A15)=_xlfn.MAXIFS(Plan!$A$5:$A$30,Plan!$B$5:$B$30,A15),_xlfn.MINIFS(Plan!$A$5:$A$30,Plan!$B$5:$B$30,A15)&amp;"",_xlfn.MINIFS(Plan!$A$5:$A$30,Plan!$B$5:$B$30,A15)&amp;"–"&amp;_xlfn.MAXIFS(Plan!$A$5:$A$30,Plan!$B$5:$B$30,A15))</f>
        <v>1–2</v>
      </c>
      <c r="D15" s="5" t="n">
        <f aca="false">SUMIFS(Plan!$G$5:$G$30,Plan!$B$5:$B$30,A15)</f>
        <v>12</v>
      </c>
      <c r="E15" s="5" t="n">
        <f aca="false">SUMIFS(Plan!$H$5:$H$30,Plan!$B$5:$B$30,A15)</f>
        <v>3</v>
      </c>
      <c r="F15" s="12" t="n">
        <f aca="false">IFERROR(MIN(E15/D15,1),0)</f>
        <v>0.25</v>
      </c>
      <c r="G15" s="7" t="n">
        <f aca="false">COUNTIF(Plan!$B$5:$B$30,A15)</f>
        <v>4</v>
      </c>
      <c r="H15" s="7" t="n">
        <f aca="false">COUNTIFS(Plan!$B$5:$B$30,A15,Plan!$I$5:$I$30,"Terminé")</f>
        <v>1</v>
      </c>
      <c r="I15" s="13" t="str">
        <f aca="false">IF(H15=G15,"Terminé",IF(OR(E15&gt;0,H15&gt;0),"En cours","À faire"))</f>
        <v>En cours</v>
      </c>
    </row>
    <row r="16" customFormat="false" ht="15" hidden="false" customHeight="false" outlineLevel="0" collapsed="false">
      <c r="A16" s="10" t="s">
        <v>20</v>
      </c>
      <c r="B16" s="11" t="s">
        <v>21</v>
      </c>
      <c r="C16" s="7" t="str">
        <f aca="false">IF(_xlfn.MINIFS(Plan!$A$5:$A$30,Plan!$B$5:$B$30,A16)=_xlfn.MAXIFS(Plan!$A$5:$A$30,Plan!$B$5:$B$30,A16),_xlfn.MINIFS(Plan!$A$5:$A$30,Plan!$B$5:$B$30,A16)&amp;"",_xlfn.MINIFS(Plan!$A$5:$A$30,Plan!$B$5:$B$30,A16)&amp;"–"&amp;_xlfn.MAXIFS(Plan!$A$5:$A$30,Plan!$B$5:$B$30,A16))</f>
        <v>3</v>
      </c>
      <c r="D16" s="5" t="n">
        <f aca="false">SUMIFS(Plan!$G$5:$G$30,Plan!$B$5:$B$30,A16)</f>
        <v>6</v>
      </c>
      <c r="E16" s="5" t="n">
        <f aca="false">SUMIFS(Plan!$H$5:$H$30,Plan!$B$5:$B$30,A16)</f>
        <v>0</v>
      </c>
      <c r="F16" s="12" t="n">
        <f aca="false">IFERROR(MIN(E16/D16,1),0)</f>
        <v>0</v>
      </c>
      <c r="G16" s="7" t="n">
        <f aca="false">COUNTIF(Plan!$B$5:$B$30,A16)</f>
        <v>2</v>
      </c>
      <c r="H16" s="7" t="n">
        <f aca="false">COUNTIFS(Plan!$B$5:$B$30,A16,Plan!$I$5:$I$30,"Terminé")</f>
        <v>0</v>
      </c>
      <c r="I16" s="13" t="str">
        <f aca="false">IF(H16=G16,"Terminé",IF(OR(E16&gt;0,H16&gt;0),"En cours","À faire"))</f>
        <v>À faire</v>
      </c>
    </row>
    <row r="17" customFormat="false" ht="15" hidden="false" customHeight="false" outlineLevel="0" collapsed="false">
      <c r="A17" s="10" t="s">
        <v>22</v>
      </c>
      <c r="B17" s="11" t="s">
        <v>23</v>
      </c>
      <c r="C17" s="7" t="str">
        <f aca="false">IF(_xlfn.MINIFS(Plan!$A$5:$A$30,Plan!$B$5:$B$30,A17)=_xlfn.MAXIFS(Plan!$A$5:$A$30,Plan!$B$5:$B$30,A17),_xlfn.MINIFS(Plan!$A$5:$A$30,Plan!$B$5:$B$30,A17)&amp;"",_xlfn.MINIFS(Plan!$A$5:$A$30,Plan!$B$5:$B$30,A17)&amp;"–"&amp;_xlfn.MAXIFS(Plan!$A$5:$A$30,Plan!$B$5:$B$30,A17))</f>
        <v>4–5</v>
      </c>
      <c r="D17" s="5" t="n">
        <f aca="false">SUMIFS(Plan!$G$5:$G$30,Plan!$B$5:$B$30,A17)</f>
        <v>12</v>
      </c>
      <c r="E17" s="5" t="n">
        <f aca="false">SUMIFS(Plan!$H$5:$H$30,Plan!$B$5:$B$30,A17)</f>
        <v>0</v>
      </c>
      <c r="F17" s="12" t="n">
        <f aca="false">IFERROR(MIN(E17/D17,1),0)</f>
        <v>0</v>
      </c>
      <c r="G17" s="7" t="n">
        <f aca="false">COUNTIF(Plan!$B$5:$B$30,A17)</f>
        <v>4</v>
      </c>
      <c r="H17" s="7" t="n">
        <f aca="false">COUNTIFS(Plan!$B$5:$B$30,A17,Plan!$I$5:$I$30,"Terminé")</f>
        <v>0</v>
      </c>
      <c r="I17" s="13" t="str">
        <f aca="false">IF(H17=G17,"Terminé",IF(OR(E17&gt;0,H17&gt;0),"En cours","À faire"))</f>
        <v>À faire</v>
      </c>
    </row>
    <row r="18" customFormat="false" ht="15" hidden="false" customHeight="false" outlineLevel="0" collapsed="false">
      <c r="A18" s="10" t="s">
        <v>24</v>
      </c>
      <c r="B18" s="11" t="s">
        <v>25</v>
      </c>
      <c r="C18" s="7" t="str">
        <f aca="false">IF(_xlfn.MINIFS(Plan!$A$5:$A$30,Plan!$B$5:$B$30,A18)=_xlfn.MAXIFS(Plan!$A$5:$A$30,Plan!$B$5:$B$30,A18),_xlfn.MINIFS(Plan!$A$5:$A$30,Plan!$B$5:$B$30,A18)&amp;"",_xlfn.MINIFS(Plan!$A$5:$A$30,Plan!$B$5:$B$30,A18)&amp;"–"&amp;_xlfn.MAXIFS(Plan!$A$5:$A$30,Plan!$B$5:$B$30,A18))</f>
        <v>6</v>
      </c>
      <c r="D18" s="5" t="n">
        <f aca="false">SUMIFS(Plan!$G$5:$G$30,Plan!$B$5:$B$30,A18)</f>
        <v>6</v>
      </c>
      <c r="E18" s="5" t="n">
        <f aca="false">SUMIFS(Plan!$H$5:$H$30,Plan!$B$5:$B$30,A18)</f>
        <v>0</v>
      </c>
      <c r="F18" s="12" t="n">
        <f aca="false">IFERROR(MIN(E18/D18,1),0)</f>
        <v>0</v>
      </c>
      <c r="G18" s="7" t="n">
        <f aca="false">COUNTIF(Plan!$B$5:$B$30,A18)</f>
        <v>2</v>
      </c>
      <c r="H18" s="7" t="n">
        <f aca="false">COUNTIFS(Plan!$B$5:$B$30,A18,Plan!$I$5:$I$30,"Terminé")</f>
        <v>0</v>
      </c>
      <c r="I18" s="13" t="str">
        <f aca="false">IF(H18=G18,"Terminé",IF(OR(E18&gt;0,H18&gt;0),"En cours","À faire"))</f>
        <v>À faire</v>
      </c>
    </row>
    <row r="19" customFormat="false" ht="15" hidden="false" customHeight="false" outlineLevel="0" collapsed="false">
      <c r="A19" s="10" t="s">
        <v>26</v>
      </c>
      <c r="B19" s="11" t="s">
        <v>27</v>
      </c>
      <c r="C19" s="7" t="str">
        <f aca="false">IF(_xlfn.MINIFS(Plan!$A$5:$A$30,Plan!$B$5:$B$30,A19)=_xlfn.MAXIFS(Plan!$A$5:$A$30,Plan!$B$5:$B$30,A19),_xlfn.MINIFS(Plan!$A$5:$A$30,Plan!$B$5:$B$30,A19)&amp;"",_xlfn.MINIFS(Plan!$A$5:$A$30,Plan!$B$5:$B$30,A19)&amp;"–"&amp;_xlfn.MAXIFS(Plan!$A$5:$A$30,Plan!$B$5:$B$30,A19))</f>
        <v>7</v>
      </c>
      <c r="D19" s="5" t="n">
        <f aca="false">SUMIFS(Plan!$G$5:$G$30,Plan!$B$5:$B$30,A19)</f>
        <v>6</v>
      </c>
      <c r="E19" s="5" t="n">
        <f aca="false">SUMIFS(Plan!$H$5:$H$30,Plan!$B$5:$B$30,A19)</f>
        <v>0</v>
      </c>
      <c r="F19" s="12" t="n">
        <f aca="false">IFERROR(MIN(E19/D19,1),0)</f>
        <v>0</v>
      </c>
      <c r="G19" s="7" t="n">
        <f aca="false">COUNTIF(Plan!$B$5:$B$30,A19)</f>
        <v>2</v>
      </c>
      <c r="H19" s="7" t="n">
        <f aca="false">COUNTIFS(Plan!$B$5:$B$30,A19,Plan!$I$5:$I$30,"Terminé")</f>
        <v>0</v>
      </c>
      <c r="I19" s="13" t="str">
        <f aca="false">IF(H19=G19,"Terminé",IF(OR(E19&gt;0,H19&gt;0),"En cours","À faire"))</f>
        <v>À faire</v>
      </c>
    </row>
    <row r="20" customFormat="false" ht="15" hidden="false" customHeight="false" outlineLevel="0" collapsed="false">
      <c r="A20" s="10" t="s">
        <v>28</v>
      </c>
      <c r="B20" s="11" t="s">
        <v>29</v>
      </c>
      <c r="C20" s="7" t="str">
        <f aca="false">IF(_xlfn.MINIFS(Plan!$A$5:$A$30,Plan!$B$5:$B$30,A20)=_xlfn.MAXIFS(Plan!$A$5:$A$30,Plan!$B$5:$B$30,A20),_xlfn.MINIFS(Plan!$A$5:$A$30,Plan!$B$5:$B$30,A20)&amp;"",_xlfn.MINIFS(Plan!$A$5:$A$30,Plan!$B$5:$B$30,A20)&amp;"–"&amp;_xlfn.MAXIFS(Plan!$A$5:$A$30,Plan!$B$5:$B$30,A20))</f>
        <v>8</v>
      </c>
      <c r="D20" s="5" t="n">
        <f aca="false">SUMIFS(Plan!$G$5:$G$30,Plan!$B$5:$B$30,A20)</f>
        <v>6</v>
      </c>
      <c r="E20" s="5" t="n">
        <f aca="false">SUMIFS(Plan!$H$5:$H$30,Plan!$B$5:$B$30,A20)</f>
        <v>0</v>
      </c>
      <c r="F20" s="12" t="n">
        <f aca="false">IFERROR(MIN(E20/D20,1),0)</f>
        <v>0</v>
      </c>
      <c r="G20" s="7" t="n">
        <f aca="false">COUNTIF(Plan!$B$5:$B$30,A20)</f>
        <v>2</v>
      </c>
      <c r="H20" s="7" t="n">
        <f aca="false">COUNTIFS(Plan!$B$5:$B$30,A20,Plan!$I$5:$I$30,"Terminé")</f>
        <v>0</v>
      </c>
      <c r="I20" s="13" t="str">
        <f aca="false">IF(H20=G20,"Terminé",IF(OR(E20&gt;0,H20&gt;0),"En cours","À faire"))</f>
        <v>À faire</v>
      </c>
    </row>
    <row r="21" customFormat="false" ht="15" hidden="false" customHeight="false" outlineLevel="0" collapsed="false">
      <c r="A21" s="10" t="s">
        <v>30</v>
      </c>
      <c r="B21" s="11" t="s">
        <v>31</v>
      </c>
      <c r="C21" s="7" t="str">
        <f aca="false">IF(_xlfn.MINIFS(Plan!$A$5:$A$30,Plan!$B$5:$B$30,A21)=_xlfn.MAXIFS(Plan!$A$5:$A$30,Plan!$B$5:$B$30,A21),_xlfn.MINIFS(Plan!$A$5:$A$30,Plan!$B$5:$B$30,A21)&amp;"",_xlfn.MINIFS(Plan!$A$5:$A$30,Plan!$B$5:$B$30,A21)&amp;"–"&amp;_xlfn.MAXIFS(Plan!$A$5:$A$30,Plan!$B$5:$B$30,A21))</f>
        <v>9</v>
      </c>
      <c r="D21" s="5" t="n">
        <f aca="false">SUMIFS(Plan!$G$5:$G$30,Plan!$B$5:$B$30,A21)</f>
        <v>6</v>
      </c>
      <c r="E21" s="5" t="n">
        <f aca="false">SUMIFS(Plan!$H$5:$H$30,Plan!$B$5:$B$30,A21)</f>
        <v>0</v>
      </c>
      <c r="F21" s="12" t="n">
        <f aca="false">IFERROR(MIN(E21/D21,1),0)</f>
        <v>0</v>
      </c>
      <c r="G21" s="7" t="n">
        <f aca="false">COUNTIF(Plan!$B$5:$B$30,A21)</f>
        <v>2</v>
      </c>
      <c r="H21" s="7" t="n">
        <f aca="false">COUNTIFS(Plan!$B$5:$B$30,A21,Plan!$I$5:$I$30,"Terminé")</f>
        <v>0</v>
      </c>
      <c r="I21" s="13" t="str">
        <f aca="false">IF(H21=G21,"Terminé",IF(OR(E21&gt;0,H21&gt;0),"En cours","À faire"))</f>
        <v>À faire</v>
      </c>
    </row>
    <row r="22" customFormat="false" ht="15" hidden="false" customHeight="false" outlineLevel="0" collapsed="false">
      <c r="A22" s="10" t="s">
        <v>32</v>
      </c>
      <c r="B22" s="11" t="s">
        <v>33</v>
      </c>
      <c r="C22" s="7" t="str">
        <f aca="false">IF(_xlfn.MINIFS(Plan!$A$5:$A$30,Plan!$B$5:$B$30,A22)=_xlfn.MAXIFS(Plan!$A$5:$A$30,Plan!$B$5:$B$30,A22),_xlfn.MINIFS(Plan!$A$5:$A$30,Plan!$B$5:$B$30,A22)&amp;"",_xlfn.MINIFS(Plan!$A$5:$A$30,Plan!$B$5:$B$30,A22)&amp;"–"&amp;_xlfn.MAXIFS(Plan!$A$5:$A$30,Plan!$B$5:$B$30,A22))</f>
        <v>10–11</v>
      </c>
      <c r="D22" s="5" t="n">
        <f aca="false">SUMIFS(Plan!$G$5:$G$30,Plan!$B$5:$B$30,A22)</f>
        <v>12</v>
      </c>
      <c r="E22" s="5" t="n">
        <f aca="false">SUMIFS(Plan!$H$5:$H$30,Plan!$B$5:$B$30,A22)</f>
        <v>0</v>
      </c>
      <c r="F22" s="12" t="n">
        <f aca="false">IFERROR(MIN(E22/D22,1),0)</f>
        <v>0</v>
      </c>
      <c r="G22" s="7" t="n">
        <f aca="false">COUNTIF(Plan!$B$5:$B$30,A22)</f>
        <v>4</v>
      </c>
      <c r="H22" s="7" t="n">
        <f aca="false">COUNTIFS(Plan!$B$5:$B$30,A22,Plan!$I$5:$I$30,"Terminé")</f>
        <v>0</v>
      </c>
      <c r="I22" s="13" t="str">
        <f aca="false">IF(H22=G22,"Terminé",IF(OR(E22&gt;0,H22&gt;0),"En cours","À faire"))</f>
        <v>À faire</v>
      </c>
    </row>
    <row r="23" customFormat="false" ht="15" hidden="false" customHeight="false" outlineLevel="0" collapsed="false">
      <c r="A23" s="10" t="s">
        <v>34</v>
      </c>
      <c r="B23" s="11" t="s">
        <v>35</v>
      </c>
      <c r="C23" s="7" t="str">
        <f aca="false">IF(_xlfn.MINIFS(Plan!$A$5:$A$30,Plan!$B$5:$B$30,A23)=_xlfn.MAXIFS(Plan!$A$5:$A$30,Plan!$B$5:$B$30,A23),_xlfn.MINIFS(Plan!$A$5:$A$30,Plan!$B$5:$B$30,A23)&amp;"",_xlfn.MINIFS(Plan!$A$5:$A$30,Plan!$B$5:$B$30,A23)&amp;"–"&amp;_xlfn.MAXIFS(Plan!$A$5:$A$30,Plan!$B$5:$B$30,A23))</f>
        <v>12</v>
      </c>
      <c r="D23" s="5" t="n">
        <f aca="false">SUMIFS(Plan!$G$5:$G$30,Plan!$B$5:$B$30,A23)</f>
        <v>6</v>
      </c>
      <c r="E23" s="5" t="n">
        <f aca="false">SUMIFS(Plan!$H$5:$H$30,Plan!$B$5:$B$30,A23)</f>
        <v>0</v>
      </c>
      <c r="F23" s="12" t="n">
        <f aca="false">IFERROR(MIN(E23/D23,1),0)</f>
        <v>0</v>
      </c>
      <c r="G23" s="7" t="n">
        <f aca="false">COUNTIF(Plan!$B$5:$B$30,A23)</f>
        <v>2</v>
      </c>
      <c r="H23" s="7" t="n">
        <f aca="false">COUNTIFS(Plan!$B$5:$B$30,A23,Plan!$I$5:$I$30,"Terminé")</f>
        <v>0</v>
      </c>
      <c r="I23" s="13" t="str">
        <f aca="false">IF(H23=G23,"Terminé",IF(OR(E23&gt;0,H23&gt;0),"En cours","À faire"))</f>
        <v>À faire</v>
      </c>
    </row>
    <row r="24" customFormat="false" ht="15" hidden="false" customHeight="false" outlineLevel="0" collapsed="false">
      <c r="A24" s="10" t="s">
        <v>36</v>
      </c>
      <c r="B24" s="11" t="s">
        <v>37</v>
      </c>
      <c r="C24" s="7" t="str">
        <f aca="false">IF(_xlfn.MINIFS(Plan!$A$5:$A$30,Plan!$B$5:$B$30,A24)=_xlfn.MAXIFS(Plan!$A$5:$A$30,Plan!$B$5:$B$30,A24),_xlfn.MINIFS(Plan!$A$5:$A$30,Plan!$B$5:$B$30,A24)&amp;"",_xlfn.MINIFS(Plan!$A$5:$A$30,Plan!$B$5:$B$30,A24)&amp;"–"&amp;_xlfn.MAXIFS(Plan!$A$5:$A$30,Plan!$B$5:$B$30,A24))</f>
        <v>13</v>
      </c>
      <c r="D24" s="5" t="n">
        <f aca="false">SUMIFS(Plan!$G$5:$G$30,Plan!$B$5:$B$30,A24)</f>
        <v>6</v>
      </c>
      <c r="E24" s="5" t="n">
        <f aca="false">SUMIFS(Plan!$H$5:$H$30,Plan!$B$5:$B$30,A24)</f>
        <v>0</v>
      </c>
      <c r="F24" s="12" t="n">
        <f aca="false">IFERROR(MIN(E24/D24,1),0)</f>
        <v>0</v>
      </c>
      <c r="G24" s="7" t="n">
        <f aca="false">COUNTIF(Plan!$B$5:$B$30,A24)</f>
        <v>2</v>
      </c>
      <c r="H24" s="7" t="n">
        <f aca="false">COUNTIFS(Plan!$B$5:$B$30,A24,Plan!$I$5:$I$30,"Terminé")</f>
        <v>0</v>
      </c>
      <c r="I24" s="13" t="str">
        <f aca="false">IF(H24=G24,"Terminé",IF(OR(E24&gt;0,H24&gt;0),"En cours","À faire"))</f>
        <v>À faire</v>
      </c>
    </row>
    <row r="27" customFormat="false" ht="15" hidden="false" customHeight="false" outlineLevel="0" collapsed="false">
      <c r="A27" s="2" t="s">
        <v>38</v>
      </c>
    </row>
  </sheetData>
  <conditionalFormatting sqref="I15:I24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5.05" hidden="false" customHeight="false" outlineLevel="0" collapsed="false">
      <c r="A4" s="9" t="s">
        <v>41</v>
      </c>
      <c r="B4" s="9" t="s">
        <v>11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3</v>
      </c>
      <c r="H4" s="9" t="s">
        <v>4</v>
      </c>
      <c r="I4" s="9" t="s">
        <v>17</v>
      </c>
      <c r="J4" s="9" t="s">
        <v>46</v>
      </c>
      <c r="K4" s="9" t="s">
        <v>47</v>
      </c>
    </row>
    <row r="5" customFormat="false" ht="23.85" hidden="false" customHeight="false" outlineLevel="0" collapsed="false">
      <c r="A5" s="13" t="n">
        <v>1</v>
      </c>
      <c r="B5" s="10" t="s">
        <v>18</v>
      </c>
      <c r="C5" s="14" t="s">
        <v>19</v>
      </c>
      <c r="D5" s="14" t="s">
        <v>48</v>
      </c>
      <c r="E5" s="14" t="s">
        <v>49</v>
      </c>
      <c r="F5" s="14" t="s">
        <v>50</v>
      </c>
      <c r="G5" s="15" t="n">
        <v>3</v>
      </c>
      <c r="H5" s="16" t="n">
        <v>3</v>
      </c>
      <c r="I5" s="17" t="s">
        <v>51</v>
      </c>
      <c r="J5" s="18" t="s">
        <v>52</v>
      </c>
      <c r="K5" s="12" t="n">
        <f aca="false">IFERROR(MIN(H5/G5,1),0)</f>
        <v>1</v>
      </c>
    </row>
    <row r="6" customFormat="false" ht="23.85" hidden="false" customHeight="false" outlineLevel="0" collapsed="false">
      <c r="A6" s="13" t="n">
        <v>1</v>
      </c>
      <c r="B6" s="10" t="s">
        <v>18</v>
      </c>
      <c r="C6" s="14" t="s">
        <v>19</v>
      </c>
      <c r="D6" s="14" t="s">
        <v>53</v>
      </c>
      <c r="E6" s="14" t="s">
        <v>54</v>
      </c>
      <c r="F6" s="14" t="s">
        <v>55</v>
      </c>
      <c r="G6" s="15" t="n">
        <v>3</v>
      </c>
      <c r="H6" s="16" t="n">
        <v>0</v>
      </c>
      <c r="I6" s="17" t="s">
        <v>56</v>
      </c>
      <c r="J6" s="18"/>
      <c r="K6" s="12" t="n">
        <f aca="false">IFERROR(MIN(H6/G6,1),0)</f>
        <v>0</v>
      </c>
    </row>
    <row r="7" customFormat="false" ht="23.85" hidden="false" customHeight="false" outlineLevel="0" collapsed="false">
      <c r="A7" s="13" t="n">
        <v>2</v>
      </c>
      <c r="B7" s="10" t="s">
        <v>18</v>
      </c>
      <c r="C7" s="14" t="s">
        <v>19</v>
      </c>
      <c r="D7" s="14" t="s">
        <v>57</v>
      </c>
      <c r="E7" s="14" t="s">
        <v>58</v>
      </c>
      <c r="F7" s="14" t="s">
        <v>59</v>
      </c>
      <c r="G7" s="15" t="n">
        <v>3</v>
      </c>
      <c r="H7" s="16" t="n">
        <v>0</v>
      </c>
      <c r="I7" s="17" t="s">
        <v>56</v>
      </c>
      <c r="J7" s="18"/>
      <c r="K7" s="12" t="n">
        <f aca="false">IFERROR(MIN(H7/G7,1),0)</f>
        <v>0</v>
      </c>
    </row>
    <row r="8" customFormat="false" ht="23.85" hidden="false" customHeight="false" outlineLevel="0" collapsed="false">
      <c r="A8" s="13" t="n">
        <v>2</v>
      </c>
      <c r="B8" s="10" t="s">
        <v>18</v>
      </c>
      <c r="C8" s="14" t="s">
        <v>19</v>
      </c>
      <c r="D8" s="14" t="s">
        <v>60</v>
      </c>
      <c r="E8" s="14" t="s">
        <v>61</v>
      </c>
      <c r="F8" s="14" t="s">
        <v>62</v>
      </c>
      <c r="G8" s="15" t="n">
        <v>3</v>
      </c>
      <c r="H8" s="16" t="n">
        <v>0</v>
      </c>
      <c r="I8" s="17" t="s">
        <v>56</v>
      </c>
      <c r="J8" s="18"/>
      <c r="K8" s="12" t="n">
        <f aca="false">IFERROR(MIN(H8/G8,1),0)</f>
        <v>0</v>
      </c>
    </row>
    <row r="9" customFormat="false" ht="23.85" hidden="false" customHeight="false" outlineLevel="0" collapsed="false">
      <c r="A9" s="13" t="n">
        <v>3</v>
      </c>
      <c r="B9" s="10" t="s">
        <v>20</v>
      </c>
      <c r="C9" s="14" t="s">
        <v>21</v>
      </c>
      <c r="D9" s="14" t="s">
        <v>63</v>
      </c>
      <c r="E9" s="14" t="s">
        <v>64</v>
      </c>
      <c r="F9" s="14" t="s">
        <v>65</v>
      </c>
      <c r="G9" s="15" t="n">
        <v>3</v>
      </c>
      <c r="H9" s="16" t="n">
        <v>0</v>
      </c>
      <c r="I9" s="17" t="s">
        <v>56</v>
      </c>
      <c r="J9" s="18"/>
      <c r="K9" s="12" t="n">
        <f aca="false">IFERROR(MIN(H9/G9,1),0)</f>
        <v>0</v>
      </c>
    </row>
    <row r="10" customFormat="false" ht="23.85" hidden="false" customHeight="false" outlineLevel="0" collapsed="false">
      <c r="A10" s="13" t="n">
        <v>3</v>
      </c>
      <c r="B10" s="10" t="s">
        <v>20</v>
      </c>
      <c r="C10" s="14" t="s">
        <v>21</v>
      </c>
      <c r="D10" s="14" t="s">
        <v>66</v>
      </c>
      <c r="E10" s="14" t="s">
        <v>67</v>
      </c>
      <c r="F10" s="14" t="s">
        <v>68</v>
      </c>
      <c r="G10" s="15" t="n">
        <v>3</v>
      </c>
      <c r="H10" s="16" t="n">
        <v>0</v>
      </c>
      <c r="I10" s="17" t="s">
        <v>56</v>
      </c>
      <c r="J10" s="18"/>
      <c r="K10" s="12" t="n">
        <f aca="false">IFERROR(MIN(H10/G10,1),0)</f>
        <v>0</v>
      </c>
    </row>
    <row r="11" customFormat="false" ht="23.85" hidden="false" customHeight="false" outlineLevel="0" collapsed="false">
      <c r="A11" s="13" t="n">
        <v>4</v>
      </c>
      <c r="B11" s="10" t="s">
        <v>22</v>
      </c>
      <c r="C11" s="14" t="s">
        <v>23</v>
      </c>
      <c r="D11" s="14" t="s">
        <v>69</v>
      </c>
      <c r="E11" s="14" t="s">
        <v>70</v>
      </c>
      <c r="F11" s="14" t="s">
        <v>71</v>
      </c>
      <c r="G11" s="15" t="n">
        <v>3</v>
      </c>
      <c r="H11" s="16" t="n">
        <v>0</v>
      </c>
      <c r="I11" s="17" t="s">
        <v>56</v>
      </c>
      <c r="J11" s="18"/>
      <c r="K11" s="12" t="n">
        <f aca="false">IFERROR(MIN(H11/G11,1),0)</f>
        <v>0</v>
      </c>
    </row>
    <row r="12" customFormat="false" ht="23.85" hidden="false" customHeight="false" outlineLevel="0" collapsed="false">
      <c r="A12" s="13" t="n">
        <v>4</v>
      </c>
      <c r="B12" s="10" t="s">
        <v>22</v>
      </c>
      <c r="C12" s="14" t="s">
        <v>23</v>
      </c>
      <c r="D12" s="14" t="s">
        <v>72</v>
      </c>
      <c r="E12" s="14" t="s">
        <v>73</v>
      </c>
      <c r="F12" s="14" t="s">
        <v>74</v>
      </c>
      <c r="G12" s="15" t="n">
        <v>3</v>
      </c>
      <c r="H12" s="16" t="n">
        <v>0</v>
      </c>
      <c r="I12" s="17" t="s">
        <v>56</v>
      </c>
      <c r="J12" s="18"/>
      <c r="K12" s="12" t="n">
        <f aca="false">IFERROR(MIN(H12/G12,1),0)</f>
        <v>0</v>
      </c>
    </row>
    <row r="13" customFormat="false" ht="23.85" hidden="false" customHeight="false" outlineLevel="0" collapsed="false">
      <c r="A13" s="13" t="n">
        <v>5</v>
      </c>
      <c r="B13" s="10" t="s">
        <v>22</v>
      </c>
      <c r="C13" s="14" t="s">
        <v>23</v>
      </c>
      <c r="D13" s="14" t="s">
        <v>75</v>
      </c>
      <c r="E13" s="14" t="s">
        <v>76</v>
      </c>
      <c r="F13" s="14" t="s">
        <v>77</v>
      </c>
      <c r="G13" s="15" t="n">
        <v>3</v>
      </c>
      <c r="H13" s="16" t="n">
        <v>0</v>
      </c>
      <c r="I13" s="17" t="s">
        <v>56</v>
      </c>
      <c r="J13" s="18"/>
      <c r="K13" s="12" t="n">
        <f aca="false">IFERROR(MIN(H13/G13,1),0)</f>
        <v>0</v>
      </c>
    </row>
    <row r="14" customFormat="false" ht="23.85" hidden="false" customHeight="false" outlineLevel="0" collapsed="false">
      <c r="A14" s="13" t="n">
        <v>5</v>
      </c>
      <c r="B14" s="10" t="s">
        <v>22</v>
      </c>
      <c r="C14" s="14" t="s">
        <v>23</v>
      </c>
      <c r="D14" s="14" t="s">
        <v>78</v>
      </c>
      <c r="E14" s="14" t="s">
        <v>79</v>
      </c>
      <c r="F14" s="14" t="s">
        <v>80</v>
      </c>
      <c r="G14" s="15" t="n">
        <v>3</v>
      </c>
      <c r="H14" s="16" t="n">
        <v>0</v>
      </c>
      <c r="I14" s="17" t="s">
        <v>56</v>
      </c>
      <c r="J14" s="18"/>
      <c r="K14" s="12" t="n">
        <f aca="false">IFERROR(MIN(H14/G14,1),0)</f>
        <v>0</v>
      </c>
    </row>
    <row r="15" customFormat="false" ht="23.85" hidden="false" customHeight="false" outlineLevel="0" collapsed="false">
      <c r="A15" s="13" t="n">
        <v>6</v>
      </c>
      <c r="B15" s="10" t="s">
        <v>24</v>
      </c>
      <c r="C15" s="14" t="s">
        <v>25</v>
      </c>
      <c r="D15" s="14" t="s">
        <v>81</v>
      </c>
      <c r="E15" s="14" t="s">
        <v>82</v>
      </c>
      <c r="F15" s="14" t="s">
        <v>83</v>
      </c>
      <c r="G15" s="15" t="n">
        <v>3</v>
      </c>
      <c r="H15" s="16" t="n">
        <v>0</v>
      </c>
      <c r="I15" s="17" t="s">
        <v>56</v>
      </c>
      <c r="J15" s="18"/>
      <c r="K15" s="12" t="n">
        <f aca="false">IFERROR(MIN(H15/G15,1),0)</f>
        <v>0</v>
      </c>
    </row>
    <row r="16" customFormat="false" ht="23.85" hidden="false" customHeight="false" outlineLevel="0" collapsed="false">
      <c r="A16" s="13" t="n">
        <v>6</v>
      </c>
      <c r="B16" s="10" t="s">
        <v>24</v>
      </c>
      <c r="C16" s="14" t="s">
        <v>25</v>
      </c>
      <c r="D16" s="14" t="s">
        <v>84</v>
      </c>
      <c r="E16" s="14" t="s">
        <v>85</v>
      </c>
      <c r="F16" s="14" t="s">
        <v>86</v>
      </c>
      <c r="G16" s="15" t="n">
        <v>3</v>
      </c>
      <c r="H16" s="16" t="n">
        <v>0</v>
      </c>
      <c r="I16" s="17" t="s">
        <v>56</v>
      </c>
      <c r="J16" s="18"/>
      <c r="K16" s="12" t="n">
        <f aca="false">IFERROR(MIN(H16/G16,1),0)</f>
        <v>0</v>
      </c>
    </row>
    <row r="17" customFormat="false" ht="23.85" hidden="false" customHeight="false" outlineLevel="0" collapsed="false">
      <c r="A17" s="13" t="n">
        <v>7</v>
      </c>
      <c r="B17" s="10" t="s">
        <v>26</v>
      </c>
      <c r="C17" s="14" t="s">
        <v>27</v>
      </c>
      <c r="D17" s="14" t="s">
        <v>87</v>
      </c>
      <c r="E17" s="14" t="s">
        <v>88</v>
      </c>
      <c r="F17" s="14" t="s">
        <v>89</v>
      </c>
      <c r="G17" s="15" t="n">
        <v>3</v>
      </c>
      <c r="H17" s="16" t="n">
        <v>0</v>
      </c>
      <c r="I17" s="17" t="s">
        <v>56</v>
      </c>
      <c r="J17" s="18"/>
      <c r="K17" s="12" t="n">
        <f aca="false">IFERROR(MIN(H17/G17,1),0)</f>
        <v>0</v>
      </c>
    </row>
    <row r="18" customFormat="false" ht="23.85" hidden="false" customHeight="false" outlineLevel="0" collapsed="false">
      <c r="A18" s="13" t="n">
        <v>7</v>
      </c>
      <c r="B18" s="10" t="s">
        <v>26</v>
      </c>
      <c r="C18" s="14" t="s">
        <v>27</v>
      </c>
      <c r="D18" s="14" t="s">
        <v>90</v>
      </c>
      <c r="E18" s="14" t="s">
        <v>91</v>
      </c>
      <c r="F18" s="14" t="s">
        <v>92</v>
      </c>
      <c r="G18" s="15" t="n">
        <v>3</v>
      </c>
      <c r="H18" s="16" t="n">
        <v>0</v>
      </c>
      <c r="I18" s="17" t="s">
        <v>56</v>
      </c>
      <c r="J18" s="18"/>
      <c r="K18" s="12" t="n">
        <f aca="false">IFERROR(MIN(H18/G18,1),0)</f>
        <v>0</v>
      </c>
    </row>
    <row r="19" customFormat="false" ht="23.85" hidden="false" customHeight="false" outlineLevel="0" collapsed="false">
      <c r="A19" s="13" t="n">
        <v>8</v>
      </c>
      <c r="B19" s="10" t="s">
        <v>28</v>
      </c>
      <c r="C19" s="14" t="s">
        <v>29</v>
      </c>
      <c r="D19" s="14" t="s">
        <v>93</v>
      </c>
      <c r="E19" s="14" t="s">
        <v>94</v>
      </c>
      <c r="F19" s="14" t="s">
        <v>95</v>
      </c>
      <c r="G19" s="15" t="n">
        <v>3</v>
      </c>
      <c r="H19" s="16" t="n">
        <v>0</v>
      </c>
      <c r="I19" s="17" t="s">
        <v>56</v>
      </c>
      <c r="J19" s="18"/>
      <c r="K19" s="12" t="n">
        <f aca="false">IFERROR(MIN(H19/G19,1),0)</f>
        <v>0</v>
      </c>
    </row>
    <row r="20" customFormat="false" ht="23.85" hidden="false" customHeight="false" outlineLevel="0" collapsed="false">
      <c r="A20" s="13" t="n">
        <v>8</v>
      </c>
      <c r="B20" s="10" t="s">
        <v>28</v>
      </c>
      <c r="C20" s="14" t="s">
        <v>29</v>
      </c>
      <c r="D20" s="14" t="s">
        <v>96</v>
      </c>
      <c r="E20" s="14" t="s">
        <v>97</v>
      </c>
      <c r="F20" s="14" t="s">
        <v>98</v>
      </c>
      <c r="G20" s="15" t="n">
        <v>3</v>
      </c>
      <c r="H20" s="16" t="n">
        <v>0</v>
      </c>
      <c r="I20" s="17" t="s">
        <v>56</v>
      </c>
      <c r="J20" s="18"/>
      <c r="K20" s="12" t="n">
        <f aca="false">IFERROR(MIN(H20/G20,1),0)</f>
        <v>0</v>
      </c>
    </row>
    <row r="21" customFormat="false" ht="23.85" hidden="false" customHeight="false" outlineLevel="0" collapsed="false">
      <c r="A21" s="13" t="n">
        <v>9</v>
      </c>
      <c r="B21" s="10" t="s">
        <v>30</v>
      </c>
      <c r="C21" s="14" t="s">
        <v>31</v>
      </c>
      <c r="D21" s="14" t="s">
        <v>99</v>
      </c>
      <c r="E21" s="14" t="s">
        <v>100</v>
      </c>
      <c r="F21" s="14" t="s">
        <v>101</v>
      </c>
      <c r="G21" s="15" t="n">
        <v>3</v>
      </c>
      <c r="H21" s="16" t="n">
        <v>0</v>
      </c>
      <c r="I21" s="17" t="s">
        <v>56</v>
      </c>
      <c r="J21" s="18"/>
      <c r="K21" s="12" t="n">
        <f aca="false">IFERROR(MIN(H21/G21,1),0)</f>
        <v>0</v>
      </c>
    </row>
    <row r="22" customFormat="false" ht="23.85" hidden="false" customHeight="false" outlineLevel="0" collapsed="false">
      <c r="A22" s="13" t="n">
        <v>9</v>
      </c>
      <c r="B22" s="10" t="s">
        <v>30</v>
      </c>
      <c r="C22" s="14" t="s">
        <v>31</v>
      </c>
      <c r="D22" s="14" t="s">
        <v>102</v>
      </c>
      <c r="E22" s="14" t="s">
        <v>103</v>
      </c>
      <c r="F22" s="14" t="s">
        <v>104</v>
      </c>
      <c r="G22" s="15" t="n">
        <v>3</v>
      </c>
      <c r="H22" s="16" t="n">
        <v>0</v>
      </c>
      <c r="I22" s="17" t="s">
        <v>56</v>
      </c>
      <c r="J22" s="18"/>
      <c r="K22" s="12" t="n">
        <f aca="false">IFERROR(MIN(H22/G22,1),0)</f>
        <v>0</v>
      </c>
    </row>
    <row r="23" customFormat="false" ht="23.85" hidden="false" customHeight="false" outlineLevel="0" collapsed="false">
      <c r="A23" s="13" t="n">
        <v>10</v>
      </c>
      <c r="B23" s="10" t="s">
        <v>32</v>
      </c>
      <c r="C23" s="14" t="s">
        <v>33</v>
      </c>
      <c r="D23" s="14" t="s">
        <v>105</v>
      </c>
      <c r="E23" s="14" t="s">
        <v>106</v>
      </c>
      <c r="F23" s="14" t="s">
        <v>107</v>
      </c>
      <c r="G23" s="15" t="n">
        <v>3</v>
      </c>
      <c r="H23" s="16" t="n">
        <v>0</v>
      </c>
      <c r="I23" s="17" t="s">
        <v>56</v>
      </c>
      <c r="J23" s="18"/>
      <c r="K23" s="12" t="n">
        <f aca="false">IFERROR(MIN(H23/G23,1),0)</f>
        <v>0</v>
      </c>
    </row>
    <row r="24" customFormat="false" ht="23.85" hidden="false" customHeight="false" outlineLevel="0" collapsed="false">
      <c r="A24" s="13" t="n">
        <v>10</v>
      </c>
      <c r="B24" s="10" t="s">
        <v>32</v>
      </c>
      <c r="C24" s="14" t="s">
        <v>33</v>
      </c>
      <c r="D24" s="14" t="s">
        <v>108</v>
      </c>
      <c r="E24" s="14" t="s">
        <v>109</v>
      </c>
      <c r="F24" s="14" t="s">
        <v>110</v>
      </c>
      <c r="G24" s="15" t="n">
        <v>3</v>
      </c>
      <c r="H24" s="16" t="n">
        <v>0</v>
      </c>
      <c r="I24" s="17" t="s">
        <v>56</v>
      </c>
      <c r="J24" s="18"/>
      <c r="K24" s="12" t="n">
        <f aca="false">IFERROR(MIN(H24/G24,1),0)</f>
        <v>0</v>
      </c>
    </row>
    <row r="25" customFormat="false" ht="23.85" hidden="false" customHeight="false" outlineLevel="0" collapsed="false">
      <c r="A25" s="13" t="n">
        <v>11</v>
      </c>
      <c r="B25" s="10" t="s">
        <v>32</v>
      </c>
      <c r="C25" s="14" t="s">
        <v>33</v>
      </c>
      <c r="D25" s="14" t="s">
        <v>111</v>
      </c>
      <c r="E25" s="14" t="s">
        <v>112</v>
      </c>
      <c r="F25" s="14" t="s">
        <v>113</v>
      </c>
      <c r="G25" s="15" t="n">
        <v>3</v>
      </c>
      <c r="H25" s="16" t="n">
        <v>0</v>
      </c>
      <c r="I25" s="17" t="s">
        <v>56</v>
      </c>
      <c r="J25" s="18"/>
      <c r="K25" s="12" t="n">
        <f aca="false">IFERROR(MIN(H25/G25,1),0)</f>
        <v>0</v>
      </c>
    </row>
    <row r="26" customFormat="false" ht="23.85" hidden="false" customHeight="false" outlineLevel="0" collapsed="false">
      <c r="A26" s="13" t="n">
        <v>11</v>
      </c>
      <c r="B26" s="10" t="s">
        <v>32</v>
      </c>
      <c r="C26" s="14" t="s">
        <v>33</v>
      </c>
      <c r="D26" s="14" t="s">
        <v>114</v>
      </c>
      <c r="E26" s="14" t="s">
        <v>115</v>
      </c>
      <c r="F26" s="14" t="s">
        <v>116</v>
      </c>
      <c r="G26" s="15" t="n">
        <v>3</v>
      </c>
      <c r="H26" s="16" t="n">
        <v>0</v>
      </c>
      <c r="I26" s="17" t="s">
        <v>56</v>
      </c>
      <c r="J26" s="18"/>
      <c r="K26" s="12" t="n">
        <f aca="false">IFERROR(MIN(H26/G26,1),0)</f>
        <v>0</v>
      </c>
    </row>
    <row r="27" customFormat="false" ht="23.85" hidden="false" customHeight="false" outlineLevel="0" collapsed="false">
      <c r="A27" s="13" t="n">
        <v>12</v>
      </c>
      <c r="B27" s="10" t="s">
        <v>34</v>
      </c>
      <c r="C27" s="14" t="s">
        <v>35</v>
      </c>
      <c r="D27" s="14" t="s">
        <v>117</v>
      </c>
      <c r="E27" s="14" t="s">
        <v>118</v>
      </c>
      <c r="F27" s="14" t="s">
        <v>119</v>
      </c>
      <c r="G27" s="15" t="n">
        <v>3</v>
      </c>
      <c r="H27" s="16" t="n">
        <v>0</v>
      </c>
      <c r="I27" s="17" t="s">
        <v>56</v>
      </c>
      <c r="J27" s="18"/>
      <c r="K27" s="12" t="n">
        <f aca="false">IFERROR(MIN(H27/G27,1),0)</f>
        <v>0</v>
      </c>
    </row>
    <row r="28" customFormat="false" ht="15" hidden="false" customHeight="false" outlineLevel="0" collapsed="false">
      <c r="A28" s="13" t="n">
        <v>12</v>
      </c>
      <c r="B28" s="10" t="s">
        <v>34</v>
      </c>
      <c r="C28" s="14" t="s">
        <v>35</v>
      </c>
      <c r="D28" s="14" t="s">
        <v>120</v>
      </c>
      <c r="E28" s="14" t="s">
        <v>118</v>
      </c>
      <c r="F28" s="14" t="s">
        <v>121</v>
      </c>
      <c r="G28" s="15" t="n">
        <v>3</v>
      </c>
      <c r="H28" s="16" t="n">
        <v>0</v>
      </c>
      <c r="I28" s="17" t="s">
        <v>56</v>
      </c>
      <c r="J28" s="18"/>
      <c r="K28" s="12" t="n">
        <f aca="false">IFERROR(MIN(H28/G28,1),0)</f>
        <v>0</v>
      </c>
    </row>
    <row r="29" customFormat="false" ht="23.85" hidden="false" customHeight="false" outlineLevel="0" collapsed="false">
      <c r="A29" s="13" t="n">
        <v>13</v>
      </c>
      <c r="B29" s="10" t="s">
        <v>36</v>
      </c>
      <c r="C29" s="14" t="s">
        <v>37</v>
      </c>
      <c r="D29" s="14" t="s">
        <v>122</v>
      </c>
      <c r="E29" s="14" t="s">
        <v>123</v>
      </c>
      <c r="F29" s="14" t="s">
        <v>124</v>
      </c>
      <c r="G29" s="15" t="n">
        <v>4</v>
      </c>
      <c r="H29" s="16" t="n">
        <v>0</v>
      </c>
      <c r="I29" s="17" t="s">
        <v>56</v>
      </c>
      <c r="J29" s="18"/>
      <c r="K29" s="12" t="n">
        <f aca="false">IFERROR(MIN(H29/G29,1),0)</f>
        <v>0</v>
      </c>
    </row>
    <row r="30" customFormat="false" ht="15" hidden="false" customHeight="false" outlineLevel="0" collapsed="false">
      <c r="A30" s="13" t="n">
        <v>13</v>
      </c>
      <c r="B30" s="10" t="s">
        <v>36</v>
      </c>
      <c r="C30" s="14" t="s">
        <v>37</v>
      </c>
      <c r="D30" s="14" t="s">
        <v>125</v>
      </c>
      <c r="E30" s="14" t="s">
        <v>126</v>
      </c>
      <c r="F30" s="14" t="s">
        <v>127</v>
      </c>
      <c r="G30" s="15" t="n">
        <v>2</v>
      </c>
      <c r="H30" s="16" t="n">
        <v>0</v>
      </c>
      <c r="I30" s="17" t="s">
        <v>56</v>
      </c>
      <c r="J30" s="18"/>
      <c r="K30" s="12" t="n">
        <f aca="false">IFERROR(MIN(H30/G30,1),0)</f>
        <v>0</v>
      </c>
    </row>
    <row r="31" customFormat="false" ht="15" hidden="false" customHeight="false" outlineLevel="0" collapsed="false">
      <c r="F31" s="19" t="s">
        <v>128</v>
      </c>
      <c r="G31" s="20" t="n">
        <f aca="false">SUM(G5:G30)</f>
        <v>78</v>
      </c>
      <c r="H31" s="20" t="n">
        <f aca="false">SUM(H5:H30)</f>
        <v>3</v>
      </c>
      <c r="K31" s="21" t="n">
        <f aca="false">IFERROR(H31/G31,0)</f>
        <v>0.0384615384615385</v>
      </c>
    </row>
  </sheetData>
  <autoFilter ref="A4:K30"/>
  <conditionalFormatting sqref="I5:I30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</conditionalFormatting>
  <dataValidations count="1">
    <dataValidation allowBlank="true" errorStyle="stop" operator="between" showDropDown="false" showErrorMessage="false" showInputMessage="false" sqref="I5:I30" type="list">
      <formula1>"À faire,En cours,Terminé"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36"/>
  </cols>
  <sheetData>
    <row r="1" customFormat="false" ht="19.7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23.85" hidden="false" customHeight="false" outlineLevel="0" collapsed="false">
      <c r="A4" s="9" t="s">
        <v>131</v>
      </c>
      <c r="B4" s="9" t="s">
        <v>11</v>
      </c>
      <c r="C4" s="9" t="s">
        <v>132</v>
      </c>
      <c r="D4" s="9" t="s">
        <v>133</v>
      </c>
      <c r="E4" s="9" t="s">
        <v>134</v>
      </c>
      <c r="F4" s="9" t="s">
        <v>135</v>
      </c>
      <c r="G4" s="9" t="s">
        <v>136</v>
      </c>
      <c r="H4" s="9" t="s">
        <v>137</v>
      </c>
    </row>
    <row r="5" customFormat="false" ht="15" hidden="false" customHeight="false" outlineLevel="0" collapsed="false">
      <c r="A5" s="14" t="s">
        <v>138</v>
      </c>
      <c r="B5" s="10" t="s">
        <v>18</v>
      </c>
      <c r="C5" s="14" t="s">
        <v>139</v>
      </c>
      <c r="D5" s="17" t="n">
        <v>2</v>
      </c>
      <c r="E5" s="17" t="n">
        <v>4</v>
      </c>
      <c r="F5" s="13" t="n">
        <f aca="false">MAX(E5-D5,0)</f>
        <v>2</v>
      </c>
      <c r="G5" s="13" t="str">
        <f aca="false">IF(F5&gt;=3,"Haute",IF(F5=2,"Moyenne",IF(F5=1,"Basse","Acquise")))</f>
        <v>Moyenne</v>
      </c>
      <c r="H5" s="14" t="s">
        <v>140</v>
      </c>
    </row>
    <row r="6" customFormat="false" ht="15" hidden="false" customHeight="false" outlineLevel="0" collapsed="false">
      <c r="A6" s="14" t="s">
        <v>141</v>
      </c>
      <c r="B6" s="10" t="s">
        <v>18</v>
      </c>
      <c r="C6" s="14" t="s">
        <v>142</v>
      </c>
      <c r="D6" s="17" t="n">
        <v>2</v>
      </c>
      <c r="E6" s="17" t="n">
        <v>5</v>
      </c>
      <c r="F6" s="13" t="n">
        <f aca="false">MAX(E6-D6,0)</f>
        <v>3</v>
      </c>
      <c r="G6" s="13" t="str">
        <f aca="false">IF(F6&gt;=3,"Haute",IF(F6=2,"Moyenne",IF(F6=1,"Basse","Acquise")))</f>
        <v>Haute</v>
      </c>
      <c r="H6" s="14" t="s">
        <v>143</v>
      </c>
    </row>
    <row r="7" customFormat="false" ht="15" hidden="false" customHeight="false" outlineLevel="0" collapsed="false">
      <c r="A7" s="14" t="s">
        <v>144</v>
      </c>
      <c r="B7" s="10" t="s">
        <v>20</v>
      </c>
      <c r="C7" s="14" t="s">
        <v>145</v>
      </c>
      <c r="D7" s="17" t="n">
        <v>3</v>
      </c>
      <c r="E7" s="17" t="n">
        <v>5</v>
      </c>
      <c r="F7" s="13" t="n">
        <f aca="false">MAX(E7-D7,0)</f>
        <v>2</v>
      </c>
      <c r="G7" s="13" t="str">
        <f aca="false">IF(F7&gt;=3,"Haute",IF(F7=2,"Moyenne",IF(F7=1,"Basse","Acquise")))</f>
        <v>Moyenne</v>
      </c>
      <c r="H7" s="14" t="s">
        <v>146</v>
      </c>
    </row>
    <row r="8" customFormat="false" ht="15" hidden="false" customHeight="false" outlineLevel="0" collapsed="false">
      <c r="A8" s="14" t="s">
        <v>147</v>
      </c>
      <c r="B8" s="10" t="s">
        <v>22</v>
      </c>
      <c r="C8" s="14" t="s">
        <v>148</v>
      </c>
      <c r="D8" s="17" t="n">
        <v>2</v>
      </c>
      <c r="E8" s="17" t="n">
        <v>4</v>
      </c>
      <c r="F8" s="13" t="n">
        <f aca="false">MAX(E8-D8,0)</f>
        <v>2</v>
      </c>
      <c r="G8" s="13" t="str">
        <f aca="false">IF(F8&gt;=3,"Haute",IF(F8=2,"Moyenne",IF(F8=1,"Basse","Acquise")))</f>
        <v>Moyenne</v>
      </c>
      <c r="H8" s="14" t="s">
        <v>149</v>
      </c>
    </row>
    <row r="9" customFormat="false" ht="15" hidden="false" customHeight="false" outlineLevel="0" collapsed="false">
      <c r="A9" s="14" t="s">
        <v>150</v>
      </c>
      <c r="B9" s="10" t="s">
        <v>24</v>
      </c>
      <c r="C9" s="14" t="s">
        <v>151</v>
      </c>
      <c r="D9" s="17" t="n">
        <v>2</v>
      </c>
      <c r="E9" s="17" t="n">
        <v>4</v>
      </c>
      <c r="F9" s="13" t="n">
        <f aca="false">MAX(E9-D9,0)</f>
        <v>2</v>
      </c>
      <c r="G9" s="13" t="str">
        <f aca="false">IF(F9&gt;=3,"Haute",IF(F9=2,"Moyenne",IF(F9=1,"Basse","Acquise")))</f>
        <v>Moyenne</v>
      </c>
      <c r="H9" s="14" t="s">
        <v>83</v>
      </c>
    </row>
    <row r="10" customFormat="false" ht="15" hidden="false" customHeight="false" outlineLevel="0" collapsed="false">
      <c r="A10" s="14" t="s">
        <v>152</v>
      </c>
      <c r="B10" s="10" t="s">
        <v>26</v>
      </c>
      <c r="C10" s="14" t="s">
        <v>153</v>
      </c>
      <c r="D10" s="17" t="n">
        <v>3</v>
      </c>
      <c r="E10" s="17" t="n">
        <v>5</v>
      </c>
      <c r="F10" s="13" t="n">
        <f aca="false">MAX(E10-D10,0)</f>
        <v>2</v>
      </c>
      <c r="G10" s="13" t="str">
        <f aca="false">IF(F10&gt;=3,"Haute",IF(F10=2,"Moyenne",IF(F10=1,"Basse","Acquise")))</f>
        <v>Moyenne</v>
      </c>
      <c r="H10" s="14" t="s">
        <v>154</v>
      </c>
    </row>
    <row r="11" customFormat="false" ht="15" hidden="false" customHeight="false" outlineLevel="0" collapsed="false">
      <c r="A11" s="14" t="s">
        <v>155</v>
      </c>
      <c r="B11" s="10" t="s">
        <v>28</v>
      </c>
      <c r="C11" s="14" t="s">
        <v>156</v>
      </c>
      <c r="D11" s="17" t="n">
        <v>3</v>
      </c>
      <c r="E11" s="17" t="n">
        <v>5</v>
      </c>
      <c r="F11" s="13" t="n">
        <f aca="false">MAX(E11-D11,0)</f>
        <v>2</v>
      </c>
      <c r="G11" s="13" t="str">
        <f aca="false">IF(F11&gt;=3,"Haute",IF(F11=2,"Moyenne",IF(F11=1,"Basse","Acquise")))</f>
        <v>Moyenne</v>
      </c>
      <c r="H11" s="14" t="s">
        <v>157</v>
      </c>
    </row>
    <row r="12" customFormat="false" ht="15" hidden="false" customHeight="false" outlineLevel="0" collapsed="false">
      <c r="A12" s="14" t="s">
        <v>158</v>
      </c>
      <c r="B12" s="10" t="s">
        <v>30</v>
      </c>
      <c r="C12" s="14" t="s">
        <v>159</v>
      </c>
      <c r="D12" s="17" t="n">
        <v>2</v>
      </c>
      <c r="E12" s="17" t="n">
        <v>5</v>
      </c>
      <c r="F12" s="13" t="n">
        <f aca="false">MAX(E12-D12,0)</f>
        <v>3</v>
      </c>
      <c r="G12" s="13" t="str">
        <f aca="false">IF(F12&gt;=3,"Haute",IF(F12=2,"Moyenne",IF(F12=1,"Basse","Acquise")))</f>
        <v>Haute</v>
      </c>
      <c r="H12" s="14" t="s">
        <v>160</v>
      </c>
    </row>
    <row r="13" customFormat="false" ht="15" hidden="false" customHeight="false" outlineLevel="0" collapsed="false">
      <c r="A13" s="14" t="s">
        <v>161</v>
      </c>
      <c r="B13" s="10" t="s">
        <v>32</v>
      </c>
      <c r="C13" s="14" t="s">
        <v>162</v>
      </c>
      <c r="D13" s="17" t="n">
        <v>2</v>
      </c>
      <c r="E13" s="17" t="n">
        <v>4</v>
      </c>
      <c r="F13" s="13" t="n">
        <f aca="false">MAX(E13-D13,0)</f>
        <v>2</v>
      </c>
      <c r="G13" s="13" t="str">
        <f aca="false">IF(F13&gt;=3,"Haute",IF(F13=2,"Moyenne",IF(F13=1,"Basse","Acquise")))</f>
        <v>Moyenne</v>
      </c>
      <c r="H13" s="14" t="s">
        <v>163</v>
      </c>
    </row>
    <row r="14" customFormat="false" ht="15" hidden="false" customHeight="false" outlineLevel="0" collapsed="false">
      <c r="A14" s="14" t="s">
        <v>164</v>
      </c>
      <c r="B14" s="10" t="s">
        <v>34</v>
      </c>
      <c r="C14" s="14" t="s">
        <v>165</v>
      </c>
      <c r="D14" s="17" t="n">
        <v>3</v>
      </c>
      <c r="E14" s="17" t="n">
        <v>4</v>
      </c>
      <c r="F14" s="13" t="n">
        <f aca="false">MAX(E14-D14,0)</f>
        <v>1</v>
      </c>
      <c r="G14" s="13" t="str">
        <f aca="false">IF(F14&gt;=3,"Haute",IF(F14=2,"Moyenne",IF(F14=1,"Basse","Acquise")))</f>
        <v>Basse</v>
      </c>
      <c r="H14" s="14" t="s">
        <v>166</v>
      </c>
    </row>
    <row r="15" customFormat="false" ht="15" hidden="false" customHeight="false" outlineLevel="0" collapsed="false">
      <c r="A15" s="14" t="s">
        <v>167</v>
      </c>
      <c r="B15" s="10" t="s">
        <v>26</v>
      </c>
      <c r="C15" s="14" t="s">
        <v>168</v>
      </c>
      <c r="D15" s="17" t="n">
        <v>3</v>
      </c>
      <c r="E15" s="17" t="n">
        <v>4</v>
      </c>
      <c r="F15" s="13" t="n">
        <f aca="false">MAX(E15-D15,0)</f>
        <v>1</v>
      </c>
      <c r="G15" s="13" t="str">
        <f aca="false">IF(F15&gt;=3,"Haute",IF(F15=2,"Moyenne",IF(F15=1,"Basse","Acquise")))</f>
        <v>Basse</v>
      </c>
      <c r="H15" s="14" t="s">
        <v>169</v>
      </c>
    </row>
    <row r="16" customFormat="false" ht="15" hidden="false" customHeight="false" outlineLevel="0" collapsed="false">
      <c r="C16" s="19" t="s">
        <v>170</v>
      </c>
      <c r="D16" s="20" t="n">
        <f aca="false">AVERAGE(D5:D15)</f>
        <v>2.45454545454545</v>
      </c>
      <c r="E16" s="20" t="n">
        <f aca="false">AVERAGE(E5:E15)</f>
        <v>4.45454545454545</v>
      </c>
      <c r="F16" s="20" t="n">
        <f aca="false">AVERAGE(F5:F15)</f>
        <v>2</v>
      </c>
    </row>
    <row r="18" customFormat="false" ht="15" hidden="false" customHeight="false" outlineLevel="0" collapsed="false">
      <c r="A18" s="2" t="s">
        <v>171</v>
      </c>
    </row>
  </sheetData>
  <conditionalFormatting sqref="G5:G15">
    <cfRule type="cellIs" priority="2" operator="equal" aboveAverage="0" equalAverage="0" bottom="0" percent="0" rank="0" text="" dxfId="8">
      <formula>"Haute"</formula>
    </cfRule>
    <cfRule type="cellIs" priority="3" operator="equal" aboveAverage="0" equalAverage="0" bottom="0" percent="0" rank="0" text="" dxfId="1">
      <formula>"Moyenne"</formula>
    </cfRule>
    <cfRule type="cellIs" priority="4" operator="equal" aboveAverage="0" equalAverage="0" bottom="0" percent="0" rank="0" text="" dxfId="0">
      <formula>"Acquise"</formula>
    </cfRule>
  </conditionalFormatting>
  <dataValidations count="1">
    <dataValidation allowBlank="false" errorStyle="stop" operator="between" showDropDown="false" showErrorMessage="false" showInputMessage="false" sqref="D5:E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8" min="7" style="0" width="19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3" t="s">
        <v>174</v>
      </c>
    </row>
    <row r="5" customFormat="false" ht="15" hidden="false" customHeight="false" outlineLevel="0" collapsed="false">
      <c r="A5" s="11" t="s">
        <v>175</v>
      </c>
      <c r="B5" s="22" t="n">
        <v>500</v>
      </c>
    </row>
    <row r="6" customFormat="false" ht="15" hidden="false" customHeight="false" outlineLevel="0" collapsed="false">
      <c r="A6" s="11" t="s">
        <v>176</v>
      </c>
      <c r="B6" s="22" t="n">
        <v>120</v>
      </c>
    </row>
    <row r="7" customFormat="false" ht="15" hidden="false" customHeight="false" outlineLevel="0" collapsed="false">
      <c r="A7" s="11" t="s">
        <v>177</v>
      </c>
      <c r="B7" s="22" t="n">
        <v>200</v>
      </c>
    </row>
    <row r="8" customFormat="false" ht="15" hidden="false" customHeight="false" outlineLevel="0" collapsed="false">
      <c r="A8" s="11" t="s">
        <v>178</v>
      </c>
      <c r="B8" s="23" t="n">
        <v>0.25</v>
      </c>
    </row>
    <row r="9" customFormat="false" ht="15" hidden="false" customHeight="false" outlineLevel="0" collapsed="false">
      <c r="A9" s="11" t="s">
        <v>179</v>
      </c>
      <c r="B9" s="23" t="n">
        <v>0.25</v>
      </c>
    </row>
    <row r="10" customFormat="false" ht="15" hidden="false" customHeight="false" outlineLevel="0" collapsed="false">
      <c r="A10" s="11" t="s">
        <v>180</v>
      </c>
      <c r="B10" s="23" t="n">
        <v>0.8</v>
      </c>
    </row>
    <row r="12" customFormat="false" ht="15" hidden="false" customHeight="false" outlineLevel="0" collapsed="false">
      <c r="A12" s="3" t="s">
        <v>181</v>
      </c>
    </row>
    <row r="13" customFormat="false" ht="23.85" hidden="false" customHeight="false" outlineLevel="0" collapsed="false">
      <c r="A13" s="9" t="s">
        <v>182</v>
      </c>
      <c r="B13" s="9" t="s">
        <v>183</v>
      </c>
      <c r="C13" s="9" t="s">
        <v>184</v>
      </c>
      <c r="D13" s="9" t="s">
        <v>185</v>
      </c>
      <c r="E13" s="9" t="s">
        <v>186</v>
      </c>
      <c r="F13" s="9" t="s">
        <v>187</v>
      </c>
      <c r="G13" s="9" t="s">
        <v>188</v>
      </c>
      <c r="H13" s="9" t="s">
        <v>189</v>
      </c>
      <c r="I13" s="9" t="s">
        <v>190</v>
      </c>
    </row>
    <row r="14" customFormat="false" ht="15" hidden="false" customHeight="false" outlineLevel="0" collapsed="false">
      <c r="A14" s="11" t="s">
        <v>191</v>
      </c>
      <c r="B14" s="22" t="n">
        <v>10000</v>
      </c>
      <c r="C14" s="22" t="n">
        <v>4000</v>
      </c>
      <c r="D14" s="22" t="n">
        <v>2500</v>
      </c>
      <c r="E14" s="24" t="n">
        <f aca="false">SUM(B14:D14)</f>
        <v>16500</v>
      </c>
      <c r="F14" s="24" t="n">
        <f aca="false">-B5</f>
        <v>-500</v>
      </c>
      <c r="G14" s="24" t="n">
        <f aca="false">-B6</f>
        <v>-120</v>
      </c>
      <c r="H14" s="24" t="n">
        <v>0</v>
      </c>
      <c r="I14" s="25" t="n">
        <f aca="false">SUM(E14:H14)</f>
        <v>15880</v>
      </c>
    </row>
    <row r="15" customFormat="false" ht="15" hidden="false" customHeight="false" outlineLevel="0" collapsed="false">
      <c r="A15" s="11" t="s">
        <v>192</v>
      </c>
      <c r="B15" s="22" t="n">
        <v>-6000</v>
      </c>
      <c r="C15" s="22" t="n">
        <v>-2500</v>
      </c>
      <c r="D15" s="22" t="n">
        <v>-1300</v>
      </c>
      <c r="E15" s="24" t="n">
        <f aca="false">SUM(B15:D15)</f>
        <v>-9800</v>
      </c>
      <c r="F15" s="24" t="n">
        <f aca="false">B5</f>
        <v>500</v>
      </c>
      <c r="G15" s="24" t="n">
        <v>0</v>
      </c>
      <c r="H15" s="24" t="n">
        <f aca="false">-B7*B8</f>
        <v>-50</v>
      </c>
      <c r="I15" s="25" t="n">
        <f aca="false">SUM(E15:H15)</f>
        <v>-9350</v>
      </c>
    </row>
    <row r="16" customFormat="false" ht="15" hidden="false" customHeight="false" outlineLevel="0" collapsed="false">
      <c r="A16" s="11" t="s">
        <v>193</v>
      </c>
      <c r="B16" s="22" t="n">
        <v>-1200</v>
      </c>
      <c r="C16" s="22" t="n">
        <v>-500</v>
      </c>
      <c r="D16" s="22" t="n">
        <v>-400</v>
      </c>
      <c r="E16" s="24" t="n">
        <f aca="false">SUM(B16:D16)</f>
        <v>-2100</v>
      </c>
      <c r="F16" s="24" t="n">
        <v>0</v>
      </c>
      <c r="G16" s="24" t="n">
        <f aca="false">B6</f>
        <v>120</v>
      </c>
      <c r="H16" s="24" t="n">
        <v>0</v>
      </c>
      <c r="I16" s="25" t="n">
        <f aca="false">SUM(E16:H16)</f>
        <v>-1980</v>
      </c>
    </row>
    <row r="17" customFormat="false" ht="15" hidden="false" customHeight="false" outlineLevel="0" collapsed="false">
      <c r="A17" s="11" t="s">
        <v>194</v>
      </c>
      <c r="B17" s="22" t="n">
        <v>-1800</v>
      </c>
      <c r="C17" s="22" t="n">
        <v>-700</v>
      </c>
      <c r="D17" s="22" t="n">
        <v>-500</v>
      </c>
      <c r="E17" s="24" t="n">
        <f aca="false">SUM(B17:D17)</f>
        <v>-3000</v>
      </c>
      <c r="F17" s="24" t="n">
        <v>0</v>
      </c>
      <c r="G17" s="24" t="n">
        <v>0</v>
      </c>
      <c r="H17" s="24" t="n">
        <v>0</v>
      </c>
      <c r="I17" s="25" t="n">
        <f aca="false">SUM(E17:H17)</f>
        <v>-3000</v>
      </c>
    </row>
    <row r="18" customFormat="false" ht="15" hidden="false" customHeight="false" outlineLevel="0" collapsed="false">
      <c r="A18" s="11" t="s">
        <v>195</v>
      </c>
      <c r="B18" s="22" t="n">
        <v>-250</v>
      </c>
      <c r="C18" s="22" t="n">
        <v>-75</v>
      </c>
      <c r="D18" s="22" t="n">
        <v>-75</v>
      </c>
      <c r="E18" s="24" t="n">
        <f aca="false">SUM(B18:D18)</f>
        <v>-400</v>
      </c>
      <c r="F18" s="24" t="n">
        <v>0</v>
      </c>
      <c r="G18" s="24" t="n">
        <v>0</v>
      </c>
      <c r="H18" s="24" t="n">
        <f aca="false">B7*B8*B9</f>
        <v>12.5</v>
      </c>
      <c r="I18" s="25" t="n">
        <f aca="false">SUM(E18:H18)</f>
        <v>-387.5</v>
      </c>
    </row>
    <row r="19" customFormat="false" ht="15" hidden="false" customHeight="false" outlineLevel="0" collapsed="false">
      <c r="A19" s="19" t="s">
        <v>196</v>
      </c>
      <c r="B19" s="26" t="n">
        <f aca="false">SUM(B14:B18)</f>
        <v>750</v>
      </c>
      <c r="C19" s="26" t="n">
        <f aca="false">SUM(C14:C18)</f>
        <v>225</v>
      </c>
      <c r="D19" s="26" t="n">
        <f aca="false">SUM(D14:D18)</f>
        <v>225</v>
      </c>
      <c r="E19" s="26" t="n">
        <f aca="false">SUM(E14:E18)</f>
        <v>1200</v>
      </c>
      <c r="F19" s="26" t="n">
        <f aca="false">SUM(F14:F18)</f>
        <v>0</v>
      </c>
      <c r="G19" s="26" t="n">
        <f aca="false">SUM(G14:G18)</f>
        <v>0</v>
      </c>
      <c r="H19" s="26" t="n">
        <f aca="false">SUM(H14:H18)</f>
        <v>-37.5</v>
      </c>
      <c r="I19" s="26" t="n">
        <f aca="false">SUM(I14:I18)</f>
        <v>1162.5</v>
      </c>
    </row>
    <row r="21" customFormat="false" ht="15" hidden="false" customHeight="false" outlineLevel="0" collapsed="false">
      <c r="A21" s="4" t="s">
        <v>197</v>
      </c>
      <c r="I21" s="24" t="n">
        <f aca="false">D19*(1-B10)</f>
        <v>45</v>
      </c>
    </row>
    <row r="22" customFormat="false" ht="15" hidden="false" customHeight="false" outlineLevel="0" collapsed="false">
      <c r="A22" s="19" t="s">
        <v>198</v>
      </c>
      <c r="I22" s="26" t="n">
        <f aca="false">I19-I21</f>
        <v>1117.5</v>
      </c>
    </row>
    <row r="23" customFormat="false" ht="15" hidden="false" customHeight="false" outlineLevel="0" collapsed="false">
      <c r="A23" s="4" t="s">
        <v>199</v>
      </c>
      <c r="I23" s="25" t="n">
        <f aca="false">F19+G19</f>
        <v>0</v>
      </c>
    </row>
    <row r="25" customFormat="false" ht="15" hidden="false" customHeight="false" outlineLevel="0" collapsed="false">
      <c r="A25" s="3" t="s">
        <v>200</v>
      </c>
    </row>
    <row r="26" customFormat="false" ht="15" hidden="false" customHeight="false" outlineLevel="0" collapsed="false">
      <c r="A26" s="4" t="s">
        <v>201</v>
      </c>
      <c r="B26" s="22" t="n">
        <v>1</v>
      </c>
    </row>
    <row r="27" customFormat="false" ht="23.85" hidden="false" customHeight="false" outlineLevel="0" collapsed="false">
      <c r="A27" s="9" t="s">
        <v>202</v>
      </c>
      <c r="B27" s="9" t="s">
        <v>203</v>
      </c>
      <c r="C27" s="9" t="s">
        <v>204</v>
      </c>
      <c r="D27" s="9" t="s">
        <v>205</v>
      </c>
      <c r="E27" s="9" t="s">
        <v>206</v>
      </c>
      <c r="F27" s="9" t="s">
        <v>135</v>
      </c>
      <c r="G27" s="9" t="s">
        <v>17</v>
      </c>
      <c r="H27" s="9" t="s">
        <v>207</v>
      </c>
    </row>
    <row r="28" customFormat="false" ht="15" hidden="false" customHeight="false" outlineLevel="0" collapsed="false">
      <c r="A28" s="11" t="s">
        <v>208</v>
      </c>
      <c r="B28" s="13" t="s">
        <v>209</v>
      </c>
      <c r="C28" s="22" t="n">
        <v>500</v>
      </c>
      <c r="D28" s="13" t="s">
        <v>210</v>
      </c>
      <c r="E28" s="22" t="n">
        <v>480</v>
      </c>
      <c r="F28" s="24" t="n">
        <f aca="false">C28-E28</f>
        <v>20</v>
      </c>
      <c r="G28" s="13" t="str">
        <f aca="false">IF(ABS(F28)&lt;=$B$26,"OK","À analyser")</f>
        <v>À analyser</v>
      </c>
      <c r="H28" s="18" t="s">
        <v>211</v>
      </c>
    </row>
    <row r="29" customFormat="false" ht="15" hidden="false" customHeight="false" outlineLevel="0" collapsed="false">
      <c r="A29" s="11" t="s">
        <v>212</v>
      </c>
      <c r="B29" s="13" t="s">
        <v>209</v>
      </c>
      <c r="C29" s="22" t="n">
        <v>120</v>
      </c>
      <c r="D29" s="13" t="s">
        <v>213</v>
      </c>
      <c r="E29" s="22" t="n">
        <v>120</v>
      </c>
      <c r="F29" s="24" t="n">
        <f aca="false">C29-E29</f>
        <v>0</v>
      </c>
      <c r="G29" s="13" t="str">
        <f aca="false">IF(ABS(F29)&lt;=$B$26,"OK","À analyser")</f>
        <v>OK</v>
      </c>
      <c r="H29" s="18"/>
    </row>
    <row r="30" customFormat="false" ht="15" hidden="false" customHeight="false" outlineLevel="0" collapsed="false">
      <c r="A30" s="11" t="s">
        <v>214</v>
      </c>
      <c r="B30" s="13" t="s">
        <v>210</v>
      </c>
      <c r="C30" s="22" t="n">
        <v>300</v>
      </c>
      <c r="D30" s="13" t="s">
        <v>213</v>
      </c>
      <c r="E30" s="22" t="n">
        <v>300</v>
      </c>
      <c r="F30" s="24" t="n">
        <f aca="false">C30-E30</f>
        <v>0</v>
      </c>
      <c r="G30" s="13" t="str">
        <f aca="false">IF(ABS(F30)&lt;=$B$26,"OK","À analyser")</f>
        <v>OK</v>
      </c>
      <c r="H30" s="18"/>
    </row>
    <row r="31" customFormat="false" ht="15" hidden="false" customHeight="false" outlineLevel="0" collapsed="false">
      <c r="A31" s="11" t="s">
        <v>215</v>
      </c>
      <c r="B31" s="13" t="s">
        <v>213</v>
      </c>
      <c r="C31" s="22" t="n">
        <v>45</v>
      </c>
      <c r="D31" s="13" t="s">
        <v>209</v>
      </c>
      <c r="E31" s="22" t="n">
        <v>38</v>
      </c>
      <c r="F31" s="24" t="n">
        <f aca="false">C31-E31</f>
        <v>7</v>
      </c>
      <c r="G31" s="13" t="str">
        <f aca="false">IF(ABS(F31)&lt;=$B$26,"OK","À analyser")</f>
        <v>À analyser</v>
      </c>
      <c r="H31" s="18"/>
    </row>
    <row r="32" customFormat="false" ht="15" hidden="false" customHeight="false" outlineLevel="0" collapsed="false">
      <c r="A32" s="19" t="s">
        <v>216</v>
      </c>
      <c r="G32" s="27" t="n">
        <f aca="false">COUNTIF(G28:G31,"À analyser")</f>
        <v>2</v>
      </c>
    </row>
    <row r="34" customFormat="false" ht="15" hidden="false" customHeight="false" outlineLevel="0" collapsed="false">
      <c r="A34" s="2" t="s">
        <v>217</v>
      </c>
    </row>
  </sheetData>
  <conditionalFormatting sqref="I23">
    <cfRule type="cellIs" priority="2" operator="notEqual" aboveAverage="0" equalAverage="0" bottom="0" percent="0" rank="0" text="" dxfId="8">
      <formula>0</formula>
    </cfRule>
  </conditionalFormatting>
  <conditionalFormatting sqref="G28:G31">
    <cfRule type="cellIs" priority="3" operator="equal" aboveAverage="0" equalAverage="0" bottom="0" percent="0" rank="0" text="" dxfId="8">
      <formula>"À analyser"</formula>
    </cfRule>
    <cfRule type="cellIs" priority="4" operator="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8"/>
    <col collapsed="false" customWidth="true" hidden="false" outlineLevel="0" max="7" min="6" style="0" width="3"/>
    <col collapsed="false" customWidth="true" hidden="false" outlineLevel="0" max="8" min="8" style="0" width="15"/>
    <col collapsed="false" customWidth="true" hidden="false" outlineLevel="0" max="9" min="9" style="0" width="28"/>
    <col collapsed="false" customWidth="true" hidden="false" outlineLevel="0" max="10" min="10" style="0" width="17"/>
  </cols>
  <sheetData>
    <row r="1" customFormat="false" ht="19.7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9" t="s">
        <v>220</v>
      </c>
      <c r="B4" s="9" t="s">
        <v>221</v>
      </c>
      <c r="C4" s="9" t="s">
        <v>222</v>
      </c>
      <c r="D4" s="9" t="s">
        <v>223</v>
      </c>
      <c r="E4" s="9" t="s">
        <v>224</v>
      </c>
      <c r="H4" s="9" t="s">
        <v>223</v>
      </c>
      <c r="I4" s="9" t="s">
        <v>224</v>
      </c>
      <c r="J4" s="9" t="s">
        <v>225</v>
      </c>
    </row>
    <row r="5" customFormat="false" ht="15" hidden="false" customHeight="false" outlineLevel="0" collapsed="false">
      <c r="A5" s="11" t="s">
        <v>226</v>
      </c>
      <c r="B5" s="11" t="s">
        <v>227</v>
      </c>
      <c r="C5" s="28" t="n">
        <v>820</v>
      </c>
      <c r="D5" s="18" t="s">
        <v>228</v>
      </c>
      <c r="E5" s="11" t="str">
        <f aca="false">IF(D5="","Non mappé",IFERROR(INDEX($I$5:$I$10,MATCH(D5,$H$5:$H$10,0)),"Code inconnu"))</f>
        <v>Achats consommés</v>
      </c>
      <c r="H5" s="4" t="s">
        <v>228</v>
      </c>
      <c r="I5" s="11" t="s">
        <v>192</v>
      </c>
      <c r="J5" s="24" t="n">
        <f aca="false">SUMIFS($C$5:$C$16,$D$5:$D$16,H5)</f>
        <v>915</v>
      </c>
    </row>
    <row r="6" customFormat="false" ht="15" hidden="false" customHeight="false" outlineLevel="0" collapsed="false">
      <c r="A6" s="11" t="s">
        <v>229</v>
      </c>
      <c r="B6" s="11" t="s">
        <v>230</v>
      </c>
      <c r="C6" s="28" t="n">
        <v>95</v>
      </c>
      <c r="D6" s="18" t="s">
        <v>228</v>
      </c>
      <c r="E6" s="11" t="str">
        <f aca="false">IF(D6="","Non mappé",IFERROR(INDEX($I$5:$I$10,MATCH(D6,$H$5:$H$10,0)),"Code inconnu"))</f>
        <v>Achats consommés</v>
      </c>
      <c r="H6" s="4" t="s">
        <v>231</v>
      </c>
      <c r="I6" s="11" t="s">
        <v>193</v>
      </c>
      <c r="J6" s="24" t="n">
        <f aca="false">SUMIFS($C$5:$C$16,$D$5:$D$16,H6)</f>
        <v>323</v>
      </c>
    </row>
    <row r="7" customFormat="false" ht="15" hidden="false" customHeight="false" outlineLevel="0" collapsed="false">
      <c r="A7" s="11" t="s">
        <v>232</v>
      </c>
      <c r="B7" s="11" t="s">
        <v>233</v>
      </c>
      <c r="C7" s="28" t="n">
        <v>60</v>
      </c>
      <c r="D7" s="18" t="s">
        <v>231</v>
      </c>
      <c r="E7" s="11" t="str">
        <f aca="false">IF(D7="","Non mappé",IFERROR(INDEX($I$5:$I$10,MATCH(D7,$H$5:$H$10,0)),"Code inconnu"))</f>
        <v>Charges externes</v>
      </c>
      <c r="H7" s="4" t="s">
        <v>234</v>
      </c>
      <c r="I7" s="11" t="s">
        <v>194</v>
      </c>
      <c r="J7" s="24" t="n">
        <f aca="false">SUMIFS($C$5:$C$16,$D$5:$D$16,H7)</f>
        <v>860</v>
      </c>
    </row>
    <row r="8" customFormat="false" ht="15" hidden="false" customHeight="false" outlineLevel="0" collapsed="false">
      <c r="A8" s="11" t="s">
        <v>235</v>
      </c>
      <c r="B8" s="11" t="s">
        <v>236</v>
      </c>
      <c r="C8" s="28" t="n">
        <v>140</v>
      </c>
      <c r="D8" s="18" t="s">
        <v>231</v>
      </c>
      <c r="E8" s="11" t="str">
        <f aca="false">IF(D8="","Non mappé",IFERROR(INDEX($I$5:$I$10,MATCH(D8,$H$5:$H$10,0)),"Code inconnu"))</f>
        <v>Charges externes</v>
      </c>
      <c r="H8" s="4" t="s">
        <v>237</v>
      </c>
      <c r="I8" s="11" t="s">
        <v>238</v>
      </c>
      <c r="J8" s="24" t="n">
        <f aca="false">SUMIFS($C$5:$C$16,$D$5:$D$16,H8)</f>
        <v>120</v>
      </c>
    </row>
    <row r="9" customFormat="false" ht="15" hidden="false" customHeight="false" outlineLevel="0" collapsed="false">
      <c r="A9" s="11" t="s">
        <v>239</v>
      </c>
      <c r="B9" s="11" t="s">
        <v>240</v>
      </c>
      <c r="C9" s="28" t="n">
        <v>75</v>
      </c>
      <c r="D9" s="18" t="s">
        <v>231</v>
      </c>
      <c r="E9" s="11" t="str">
        <f aca="false">IF(D9="","Non mappé",IFERROR(INDEX($I$5:$I$10,MATCH(D9,$H$5:$H$10,0)),"Code inconnu"))</f>
        <v>Charges externes</v>
      </c>
      <c r="H9" s="4" t="s">
        <v>241</v>
      </c>
      <c r="I9" s="11" t="s">
        <v>242</v>
      </c>
      <c r="J9" s="24" t="n">
        <f aca="false">SUMIFS($C$5:$C$16,$D$5:$D$16,H9)</f>
        <v>22</v>
      </c>
    </row>
    <row r="10" customFormat="false" ht="15" hidden="false" customHeight="false" outlineLevel="0" collapsed="false">
      <c r="A10" s="11" t="s">
        <v>243</v>
      </c>
      <c r="B10" s="11" t="s">
        <v>244</v>
      </c>
      <c r="C10" s="28" t="n">
        <v>30</v>
      </c>
      <c r="D10" s="18" t="s">
        <v>231</v>
      </c>
      <c r="E10" s="11" t="str">
        <f aca="false">IF(D10="","Non mappé",IFERROR(INDEX($I$5:$I$10,MATCH(D10,$H$5:$H$10,0)),"Code inconnu"))</f>
        <v>Charges externes</v>
      </c>
      <c r="H10" s="4" t="s">
        <v>245</v>
      </c>
      <c r="I10" s="11" t="s">
        <v>195</v>
      </c>
      <c r="J10" s="24" t="n">
        <f aca="false">SUMIFS($C$5:$C$16,$D$5:$D$16,H10)</f>
        <v>0</v>
      </c>
    </row>
    <row r="11" customFormat="false" ht="15" hidden="false" customHeight="false" outlineLevel="0" collapsed="false">
      <c r="A11" s="11" t="s">
        <v>246</v>
      </c>
      <c r="B11" s="11" t="s">
        <v>247</v>
      </c>
      <c r="C11" s="28" t="n">
        <v>18</v>
      </c>
      <c r="D11" s="18" t="s">
        <v>231</v>
      </c>
      <c r="E11" s="11" t="str">
        <f aca="false">IF(D11="","Non mappé",IFERROR(INDEX($I$5:$I$10,MATCH(D11,$H$5:$H$10,0)),"Code inconnu"))</f>
        <v>Charges externes</v>
      </c>
      <c r="I11" s="19" t="s">
        <v>248</v>
      </c>
      <c r="J11" s="26" t="n">
        <f aca="false">SUM(J5:J10)</f>
        <v>2240</v>
      </c>
    </row>
    <row r="12" customFormat="false" ht="15" hidden="false" customHeight="false" outlineLevel="0" collapsed="false">
      <c r="A12" s="11" t="s">
        <v>249</v>
      </c>
      <c r="B12" s="11" t="s">
        <v>250</v>
      </c>
      <c r="C12" s="28" t="n">
        <v>610</v>
      </c>
      <c r="D12" s="18" t="s">
        <v>234</v>
      </c>
      <c r="E12" s="11" t="str">
        <f aca="false">IF(D12="","Non mappé",IFERROR(INDEX($I$5:$I$10,MATCH(D12,$H$5:$H$10,0)),"Code inconnu"))</f>
        <v>Charges de personnel</v>
      </c>
      <c r="I12" s="4" t="s">
        <v>251</v>
      </c>
      <c r="J12" s="29" t="n">
        <f aca="false">COUNTIF(E5:E16,"Non mappé")+COUNTIF(E5:E16,"Code inconnu")</f>
        <v>1</v>
      </c>
    </row>
    <row r="13" customFormat="false" ht="15" hidden="false" customHeight="false" outlineLevel="0" collapsed="false">
      <c r="A13" s="11" t="s">
        <v>252</v>
      </c>
      <c r="B13" s="11" t="s">
        <v>253</v>
      </c>
      <c r="C13" s="28" t="n">
        <v>250</v>
      </c>
      <c r="D13" s="18" t="s">
        <v>234</v>
      </c>
      <c r="E13" s="11" t="str">
        <f aca="false">IF(D13="","Non mappé",IFERROR(INDEX($I$5:$I$10,MATCH(D13,$H$5:$H$10,0)),"Code inconnu"))</f>
        <v>Charges de personnel</v>
      </c>
      <c r="I13" s="4" t="s">
        <v>254</v>
      </c>
      <c r="J13" s="25" t="n">
        <f aca="false">C17-J11</f>
        <v>35</v>
      </c>
    </row>
    <row r="14" customFormat="false" ht="15" hidden="false" customHeight="false" outlineLevel="0" collapsed="false">
      <c r="A14" s="11" t="s">
        <v>255</v>
      </c>
      <c r="B14" s="11" t="s">
        <v>238</v>
      </c>
      <c r="C14" s="28" t="n">
        <v>120</v>
      </c>
      <c r="D14" s="18" t="s">
        <v>237</v>
      </c>
      <c r="E14" s="11" t="str">
        <f aca="false">IF(D14="","Non mappé",IFERROR(INDEX($I$5:$I$10,MATCH(D14,$H$5:$H$10,0)),"Code inconnu"))</f>
        <v>Dotations aux amortissements</v>
      </c>
    </row>
    <row r="15" customFormat="false" ht="15" hidden="false" customHeight="false" outlineLevel="0" collapsed="false">
      <c r="A15" s="11" t="s">
        <v>256</v>
      </c>
      <c r="B15" s="11" t="s">
        <v>257</v>
      </c>
      <c r="C15" s="28" t="n">
        <v>22</v>
      </c>
      <c r="D15" s="18" t="s">
        <v>241</v>
      </c>
      <c r="E15" s="11" t="str">
        <f aca="false">IF(D15="","Non mappé",IFERROR(INDEX($I$5:$I$10,MATCH(D15,$H$5:$H$10,0)),"Code inconnu"))</f>
        <v>Résultat financier</v>
      </c>
    </row>
    <row r="16" customFormat="false" ht="15" hidden="false" customHeight="false" outlineLevel="0" collapsed="false">
      <c r="A16" s="11" t="s">
        <v>258</v>
      </c>
      <c r="B16" s="11" t="s">
        <v>259</v>
      </c>
      <c r="C16" s="28" t="n">
        <v>35</v>
      </c>
      <c r="D16" s="18"/>
      <c r="E16" s="11" t="str">
        <f aca="false">IF(D16="","Non mappé",IFERROR(INDEX($I$5:$I$10,MATCH(D16,$H$5:$H$10,0)),"Code inconnu"))</f>
        <v>Non mappé</v>
      </c>
    </row>
    <row r="17" customFormat="false" ht="15" hidden="false" customHeight="false" outlineLevel="0" collapsed="false">
      <c r="B17" s="19" t="s">
        <v>260</v>
      </c>
      <c r="C17" s="26" t="n">
        <f aca="false">SUM(C5:C16)</f>
        <v>2275</v>
      </c>
    </row>
    <row r="20" customFormat="false" ht="15" hidden="false" customHeight="false" outlineLevel="0" collapsed="false">
      <c r="A20" s="2" t="s">
        <v>261</v>
      </c>
    </row>
  </sheetData>
  <conditionalFormatting sqref="E5:E16">
    <cfRule type="cellIs" priority="2" operator="equal" aboveAverage="0" equalAverage="0" bottom="0" percent="0" rank="0" text="" dxfId="8">
      <formula>"Non mappé"</formula>
    </cfRule>
  </conditionalFormatting>
  <conditionalFormatting sqref="J12">
    <cfRule type="cellIs" priority="3" operator="notEqual" aboveAverage="0" equalAverage="0" bottom="0" percent="0" rank="0" text="" dxfId="8">
      <formula>0</formula>
    </cfRule>
  </conditionalFormatting>
  <conditionalFormatting sqref="J13">
    <cfRule type="cellIs" priority="4" operator="notEqual" aboveAverage="0" equalAverage="0" bottom="0" percent="0" rank="0" text="" dxfId="8">
      <formula>0</formula>
    </cfRule>
  </conditionalFormatting>
  <dataValidations count="1">
    <dataValidation allowBlank="true" errorStyle="stop" operator="between" showDropDown="false" showErrorMessage="false" showInputMessage="false" sqref="D5:D16" type="list">
      <formula1>$H$5:$H$10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16" min="5" style="0" width="9"/>
  </cols>
  <sheetData>
    <row r="1" customFormat="false" ht="19.7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9" t="s">
        <v>264</v>
      </c>
      <c r="B4" s="9" t="s">
        <v>265</v>
      </c>
      <c r="C4" s="9" t="s">
        <v>266</v>
      </c>
      <c r="D4" s="9" t="s">
        <v>267</v>
      </c>
      <c r="E4" s="9" t="s">
        <v>268</v>
      </c>
      <c r="F4" s="9" t="s">
        <v>269</v>
      </c>
      <c r="G4" s="9" t="s">
        <v>270</v>
      </c>
      <c r="H4" s="9" t="s">
        <v>271</v>
      </c>
      <c r="I4" s="9" t="s">
        <v>272</v>
      </c>
      <c r="J4" s="9" t="s">
        <v>273</v>
      </c>
      <c r="K4" s="9" t="s">
        <v>274</v>
      </c>
      <c r="L4" s="9" t="s">
        <v>275</v>
      </c>
      <c r="M4" s="9" t="s">
        <v>276</v>
      </c>
      <c r="N4" s="9" t="s">
        <v>277</v>
      </c>
      <c r="O4" s="9" t="s">
        <v>278</v>
      </c>
      <c r="P4" s="9" t="s">
        <v>279</v>
      </c>
    </row>
    <row r="5" customFormat="false" ht="15" hidden="false" customHeight="false" outlineLevel="0" collapsed="false">
      <c r="A5" s="11" t="s">
        <v>191</v>
      </c>
      <c r="B5" s="13" t="s">
        <v>280</v>
      </c>
      <c r="C5" s="13" t="s">
        <v>281</v>
      </c>
      <c r="D5" s="13" t="s">
        <v>282</v>
      </c>
      <c r="E5" s="28" t="n">
        <v>2000</v>
      </c>
      <c r="F5" s="28" t="n">
        <v>2000</v>
      </c>
      <c r="G5" s="28" t="n">
        <v>2000</v>
      </c>
      <c r="H5" s="28" t="n">
        <v>2080</v>
      </c>
      <c r="I5" s="28" t="n">
        <v>2080</v>
      </c>
      <c r="J5" s="28" t="n">
        <v>2000</v>
      </c>
      <c r="K5" s="28" t="n">
        <v>2000</v>
      </c>
      <c r="L5" s="28" t="n">
        <v>2000</v>
      </c>
      <c r="M5" s="28" t="n">
        <v>2000</v>
      </c>
      <c r="N5" s="28" t="n">
        <v>2000</v>
      </c>
      <c r="O5" s="28" t="n">
        <v>2080</v>
      </c>
      <c r="P5" s="28" t="n">
        <v>2080</v>
      </c>
    </row>
    <row r="6" customFormat="false" ht="15" hidden="false" customHeight="false" outlineLevel="0" collapsed="false">
      <c r="A6" s="11" t="s">
        <v>283</v>
      </c>
      <c r="B6" s="13" t="s">
        <v>284</v>
      </c>
      <c r="C6" s="13" t="s">
        <v>281</v>
      </c>
      <c r="D6" s="13" t="s">
        <v>170</v>
      </c>
      <c r="E6" s="30" t="n">
        <v>0.22</v>
      </c>
      <c r="F6" s="30" t="n">
        <v>0.22</v>
      </c>
      <c r="G6" s="30" t="n">
        <v>0.22</v>
      </c>
      <c r="H6" s="30" t="n">
        <v>0.22</v>
      </c>
      <c r="I6" s="30" t="n">
        <v>0.22</v>
      </c>
      <c r="J6" s="30" t="n">
        <v>0.22</v>
      </c>
      <c r="K6" s="30" t="n">
        <v>0.22</v>
      </c>
      <c r="L6" s="30" t="n">
        <v>0.22</v>
      </c>
      <c r="M6" s="30" t="n">
        <v>0.22</v>
      </c>
      <c r="N6" s="30" t="n">
        <v>0.22</v>
      </c>
      <c r="O6" s="30" t="n">
        <v>0.22</v>
      </c>
      <c r="P6" s="30" t="n">
        <v>0.22</v>
      </c>
    </row>
    <row r="7" customFormat="false" ht="15" hidden="false" customHeight="false" outlineLevel="0" collapsed="false">
      <c r="A7" s="11" t="s">
        <v>285</v>
      </c>
      <c r="B7" s="13" t="s">
        <v>286</v>
      </c>
      <c r="C7" s="13" t="s">
        <v>287</v>
      </c>
      <c r="D7" s="13" t="s">
        <v>170</v>
      </c>
      <c r="E7" s="31" t="n">
        <v>3.1</v>
      </c>
      <c r="F7" s="31" t="n">
        <v>3.1</v>
      </c>
      <c r="G7" s="31" t="n">
        <v>3.1</v>
      </c>
      <c r="H7" s="31" t="n">
        <v>3.1</v>
      </c>
      <c r="I7" s="31" t="n">
        <v>3.1</v>
      </c>
      <c r="J7" s="31" t="n">
        <v>3.1</v>
      </c>
      <c r="K7" s="31" t="n">
        <v>3.1</v>
      </c>
      <c r="L7" s="31" t="n">
        <v>3.1</v>
      </c>
      <c r="M7" s="31" t="n">
        <v>3.1</v>
      </c>
      <c r="N7" s="31" t="n">
        <v>3.1</v>
      </c>
      <c r="O7" s="31" t="n">
        <v>3.1</v>
      </c>
      <c r="P7" s="31" t="n">
        <v>3.1</v>
      </c>
    </row>
    <row r="8" customFormat="false" ht="15" hidden="false" customHeight="false" outlineLevel="0" collapsed="false">
      <c r="A8" s="11" t="s">
        <v>288</v>
      </c>
      <c r="B8" s="13" t="s">
        <v>289</v>
      </c>
      <c r="C8" s="13" t="s">
        <v>281</v>
      </c>
      <c r="D8" s="13" t="s">
        <v>282</v>
      </c>
      <c r="E8" s="28" t="n">
        <v>650</v>
      </c>
      <c r="F8" s="28" t="n">
        <v>650</v>
      </c>
      <c r="G8" s="28" t="n">
        <v>650</v>
      </c>
      <c r="H8" s="28" t="n">
        <v>676</v>
      </c>
      <c r="I8" s="28" t="n">
        <v>676</v>
      </c>
      <c r="J8" s="28" t="n">
        <v>650</v>
      </c>
      <c r="K8" s="28" t="n">
        <v>650</v>
      </c>
      <c r="L8" s="28" t="n">
        <v>650</v>
      </c>
      <c r="M8" s="28" t="n">
        <v>650</v>
      </c>
      <c r="N8" s="28" t="n">
        <v>650</v>
      </c>
      <c r="O8" s="28" t="n">
        <v>676</v>
      </c>
      <c r="P8" s="28" t="n">
        <v>676</v>
      </c>
    </row>
    <row r="9" customFormat="false" ht="15" hidden="false" customHeight="false" outlineLevel="0" collapsed="false">
      <c r="A9" s="11" t="s">
        <v>290</v>
      </c>
      <c r="B9" s="13" t="s">
        <v>284</v>
      </c>
      <c r="C9" s="13" t="s">
        <v>281</v>
      </c>
      <c r="D9" s="13" t="s">
        <v>170</v>
      </c>
      <c r="E9" s="30" t="n">
        <v>0.97</v>
      </c>
      <c r="F9" s="30" t="n">
        <v>0.97</v>
      </c>
      <c r="G9" s="30" t="n">
        <v>0.97</v>
      </c>
      <c r="H9" s="30" t="n">
        <v>0.97</v>
      </c>
      <c r="I9" s="30" t="n">
        <v>0.97</v>
      </c>
      <c r="J9" s="30" t="n">
        <v>0.97</v>
      </c>
      <c r="K9" s="30" t="n">
        <v>0.97</v>
      </c>
      <c r="L9" s="30" t="n">
        <v>0.97</v>
      </c>
      <c r="M9" s="30" t="n">
        <v>0.97</v>
      </c>
      <c r="N9" s="30" t="n">
        <v>0.97</v>
      </c>
      <c r="O9" s="30" t="n">
        <v>0.97</v>
      </c>
      <c r="P9" s="30" t="n">
        <v>0.97</v>
      </c>
    </row>
    <row r="10" customFormat="false" ht="15" hidden="false" customHeight="false" outlineLevel="0" collapsed="false">
      <c r="A10" s="11" t="s">
        <v>291</v>
      </c>
      <c r="B10" s="13" t="s">
        <v>284</v>
      </c>
      <c r="C10" s="13" t="s">
        <v>287</v>
      </c>
      <c r="D10" s="13" t="s">
        <v>170</v>
      </c>
      <c r="E10" s="30" t="n">
        <v>0.055</v>
      </c>
      <c r="F10" s="30" t="n">
        <v>0.055</v>
      </c>
      <c r="G10" s="30" t="n">
        <v>0.055</v>
      </c>
      <c r="H10" s="30" t="n">
        <v>0.055</v>
      </c>
      <c r="I10" s="30" t="n">
        <v>0.055</v>
      </c>
      <c r="J10" s="30" t="n">
        <v>0.055</v>
      </c>
      <c r="K10" s="30" t="n">
        <v>0.055</v>
      </c>
      <c r="L10" s="30" t="n">
        <v>0.055</v>
      </c>
      <c r="M10" s="30" t="n">
        <v>0.055</v>
      </c>
      <c r="N10" s="30" t="n">
        <v>0.055</v>
      </c>
      <c r="O10" s="30" t="n">
        <v>0.055</v>
      </c>
      <c r="P10" s="30" t="n">
        <v>0.055</v>
      </c>
    </row>
    <row r="11" customFormat="false" ht="15" hidden="false" customHeight="false" outlineLevel="0" collapsed="false">
      <c r="A11" s="11" t="s">
        <v>292</v>
      </c>
      <c r="B11" s="13" t="s">
        <v>293</v>
      </c>
      <c r="C11" s="13" t="s">
        <v>287</v>
      </c>
      <c r="D11" s="13" t="s">
        <v>170</v>
      </c>
      <c r="E11" s="32" t="n">
        <v>45</v>
      </c>
      <c r="F11" s="32" t="n">
        <v>45</v>
      </c>
      <c r="G11" s="32" t="n">
        <v>45</v>
      </c>
      <c r="H11" s="32" t="n">
        <v>45</v>
      </c>
      <c r="I11" s="32" t="n">
        <v>45</v>
      </c>
      <c r="J11" s="32" t="n">
        <v>45</v>
      </c>
      <c r="K11" s="32" t="n">
        <v>45</v>
      </c>
      <c r="L11" s="32" t="n">
        <v>45</v>
      </c>
      <c r="M11" s="32" t="n">
        <v>45</v>
      </c>
      <c r="N11" s="32" t="n">
        <v>45</v>
      </c>
      <c r="O11" s="32" t="n">
        <v>45</v>
      </c>
      <c r="P11" s="32" t="n">
        <v>45</v>
      </c>
    </row>
    <row r="14" customFormat="false" ht="15" hidden="false" customHeight="false" outlineLevel="0" collapsed="false">
      <c r="A14" s="9" t="s">
        <v>294</v>
      </c>
      <c r="B14" s="9" t="s">
        <v>265</v>
      </c>
      <c r="C14" s="9" t="s">
        <v>266</v>
      </c>
      <c r="D14" s="9" t="s">
        <v>267</v>
      </c>
      <c r="E14" s="9" t="s">
        <v>268</v>
      </c>
      <c r="F14" s="9" t="s">
        <v>269</v>
      </c>
      <c r="G14" s="9" t="s">
        <v>270</v>
      </c>
      <c r="H14" s="9" t="s">
        <v>271</v>
      </c>
      <c r="I14" s="9" t="s">
        <v>272</v>
      </c>
      <c r="J14" s="9" t="s">
        <v>273</v>
      </c>
      <c r="K14" s="9" t="s">
        <v>274</v>
      </c>
      <c r="L14" s="9" t="s">
        <v>275</v>
      </c>
      <c r="M14" s="9" t="s">
        <v>276</v>
      </c>
      <c r="N14" s="9" t="s">
        <v>277</v>
      </c>
      <c r="O14" s="9" t="s">
        <v>278</v>
      </c>
      <c r="P14" s="9" t="s">
        <v>279</v>
      </c>
    </row>
    <row r="15" customFormat="false" ht="15" hidden="false" customHeight="false" outlineLevel="0" collapsed="false">
      <c r="A15" s="11" t="s">
        <v>191</v>
      </c>
      <c r="B15" s="13" t="s">
        <v>280</v>
      </c>
      <c r="C15" s="13" t="s">
        <v>281</v>
      </c>
      <c r="D15" s="13" t="s">
        <v>282</v>
      </c>
      <c r="E15" s="22" t="n">
        <v>1974.6319</v>
      </c>
      <c r="F15" s="22" t="n">
        <v>1949.7223</v>
      </c>
      <c r="G15" s="22" t="n">
        <v>2021.7346</v>
      </c>
      <c r="H15" s="22" t="n">
        <v>2015.9681</v>
      </c>
      <c r="I15" s="22" t="n">
        <v>2085.3737</v>
      </c>
      <c r="J15" s="22" t="n">
        <v>1980.6592</v>
      </c>
      <c r="K15" s="22" t="n">
        <v>1936.3518</v>
      </c>
      <c r="L15" s="22" t="n">
        <v>2001.0707</v>
      </c>
      <c r="M15" s="22" t="n">
        <v>1933.3994</v>
      </c>
      <c r="N15" s="22"/>
      <c r="O15" s="22"/>
      <c r="P15" s="22"/>
    </row>
    <row r="16" customFormat="false" ht="15" hidden="false" customHeight="false" outlineLevel="0" collapsed="false">
      <c r="A16" s="11" t="s">
        <v>283</v>
      </c>
      <c r="B16" s="13" t="s">
        <v>284</v>
      </c>
      <c r="C16" s="13" t="s">
        <v>281</v>
      </c>
      <c r="D16" s="13" t="s">
        <v>170</v>
      </c>
      <c r="E16" s="23" t="n">
        <v>0.2191</v>
      </c>
      <c r="F16" s="23" t="n">
        <v>0.2143</v>
      </c>
      <c r="G16" s="23" t="n">
        <v>0.2146</v>
      </c>
      <c r="H16" s="23" t="n">
        <v>0.219</v>
      </c>
      <c r="I16" s="23" t="n">
        <v>0.2243</v>
      </c>
      <c r="J16" s="23" t="n">
        <v>0.215</v>
      </c>
      <c r="K16" s="23" t="n">
        <v>0.2097</v>
      </c>
      <c r="L16" s="23" t="n">
        <v>0.2151</v>
      </c>
      <c r="M16" s="23" t="n">
        <v>0.2193</v>
      </c>
      <c r="N16" s="23"/>
      <c r="O16" s="23"/>
      <c r="P16" s="23"/>
    </row>
    <row r="17" customFormat="false" ht="15" hidden="false" customHeight="false" outlineLevel="0" collapsed="false">
      <c r="A17" s="11" t="s">
        <v>285</v>
      </c>
      <c r="B17" s="13" t="s">
        <v>286</v>
      </c>
      <c r="C17" s="13" t="s">
        <v>287</v>
      </c>
      <c r="D17" s="13" t="s">
        <v>170</v>
      </c>
      <c r="E17" s="33" t="n">
        <v>3.1086</v>
      </c>
      <c r="F17" s="33" t="n">
        <v>3.0885</v>
      </c>
      <c r="G17" s="33" t="n">
        <v>3.1532</v>
      </c>
      <c r="H17" s="33" t="n">
        <v>3.0494</v>
      </c>
      <c r="I17" s="33" t="n">
        <v>3.14</v>
      </c>
      <c r="J17" s="33" t="n">
        <v>3.0765</v>
      </c>
      <c r="K17" s="33" t="n">
        <v>3.1161</v>
      </c>
      <c r="L17" s="33" t="n">
        <v>3.1131</v>
      </c>
      <c r="M17" s="33" t="n">
        <v>3.1344</v>
      </c>
      <c r="N17" s="33"/>
      <c r="O17" s="33"/>
      <c r="P17" s="33"/>
    </row>
    <row r="18" customFormat="false" ht="15" hidden="false" customHeight="false" outlineLevel="0" collapsed="false">
      <c r="A18" s="11" t="s">
        <v>288</v>
      </c>
      <c r="B18" s="13" t="s">
        <v>289</v>
      </c>
      <c r="C18" s="13" t="s">
        <v>281</v>
      </c>
      <c r="D18" s="13" t="s">
        <v>282</v>
      </c>
      <c r="E18" s="22" t="n">
        <v>662.3289</v>
      </c>
      <c r="F18" s="22" t="n">
        <v>637.5483</v>
      </c>
      <c r="G18" s="22" t="n">
        <v>653.1824</v>
      </c>
      <c r="H18" s="22" t="n">
        <v>681.6343</v>
      </c>
      <c r="I18" s="22" t="n">
        <v>670.8244</v>
      </c>
      <c r="J18" s="22" t="n">
        <v>651.862</v>
      </c>
      <c r="K18" s="22" t="n">
        <v>632.9488</v>
      </c>
      <c r="L18" s="22" t="n">
        <v>632.8244</v>
      </c>
      <c r="M18" s="22" t="n">
        <v>638.5324</v>
      </c>
      <c r="N18" s="22"/>
      <c r="O18" s="22"/>
      <c r="P18" s="22"/>
    </row>
    <row r="19" customFormat="false" ht="15" hidden="false" customHeight="false" outlineLevel="0" collapsed="false">
      <c r="A19" s="11" t="s">
        <v>290</v>
      </c>
      <c r="B19" s="13" t="s">
        <v>284</v>
      </c>
      <c r="C19" s="13" t="s">
        <v>281</v>
      </c>
      <c r="D19" s="13" t="s">
        <v>170</v>
      </c>
      <c r="E19" s="23" t="n">
        <v>0.9731</v>
      </c>
      <c r="F19" s="23" t="n">
        <v>0.9687</v>
      </c>
      <c r="G19" s="23" t="n">
        <v>0.9668</v>
      </c>
      <c r="H19" s="23" t="n">
        <v>0.9715</v>
      </c>
      <c r="I19" s="23" t="n">
        <v>0.9692</v>
      </c>
      <c r="J19" s="23" t="n">
        <v>0.9665</v>
      </c>
      <c r="K19" s="23" t="n">
        <v>0.9664</v>
      </c>
      <c r="L19" s="23" t="n">
        <v>0.9647</v>
      </c>
      <c r="M19" s="23" t="n">
        <v>0.9568</v>
      </c>
      <c r="N19" s="23"/>
      <c r="O19" s="23"/>
      <c r="P19" s="23"/>
    </row>
    <row r="20" customFormat="false" ht="15" hidden="false" customHeight="false" outlineLevel="0" collapsed="false">
      <c r="A20" s="11" t="s">
        <v>291</v>
      </c>
      <c r="B20" s="13" t="s">
        <v>284</v>
      </c>
      <c r="C20" s="13" t="s">
        <v>287</v>
      </c>
      <c r="D20" s="13" t="s">
        <v>170</v>
      </c>
      <c r="E20" s="23" t="n">
        <v>0.0556</v>
      </c>
      <c r="F20" s="23" t="n">
        <v>0.0552</v>
      </c>
      <c r="G20" s="23" t="n">
        <v>0.058</v>
      </c>
      <c r="H20" s="23" t="n">
        <v>0.0568</v>
      </c>
      <c r="I20" s="23" t="n">
        <v>0.0533</v>
      </c>
      <c r="J20" s="23" t="n">
        <v>0.0588</v>
      </c>
      <c r="K20" s="23" t="n">
        <v>0.052</v>
      </c>
      <c r="L20" s="23" t="n">
        <v>0.0544</v>
      </c>
      <c r="M20" s="23" t="n">
        <v>0.057</v>
      </c>
      <c r="N20" s="23"/>
      <c r="O20" s="23"/>
      <c r="P20" s="23"/>
    </row>
    <row r="21" customFormat="false" ht="15" hidden="false" customHeight="false" outlineLevel="0" collapsed="false">
      <c r="A21" s="11" t="s">
        <v>292</v>
      </c>
      <c r="B21" s="13" t="s">
        <v>293</v>
      </c>
      <c r="C21" s="13" t="s">
        <v>287</v>
      </c>
      <c r="D21" s="13" t="s">
        <v>170</v>
      </c>
      <c r="E21" s="34" t="n">
        <v>43.4966</v>
      </c>
      <c r="F21" s="34" t="n">
        <v>44.9523</v>
      </c>
      <c r="G21" s="34" t="n">
        <v>43.0094</v>
      </c>
      <c r="H21" s="34" t="n">
        <v>45.7267</v>
      </c>
      <c r="I21" s="34" t="n">
        <v>46.1429</v>
      </c>
      <c r="J21" s="34" t="n">
        <v>45.3155</v>
      </c>
      <c r="K21" s="34" t="n">
        <v>46.6221</v>
      </c>
      <c r="L21" s="34" t="n">
        <v>44.1954</v>
      </c>
      <c r="M21" s="34" t="n">
        <v>45.8437</v>
      </c>
      <c r="N21" s="34"/>
      <c r="O21" s="34"/>
      <c r="P2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15" hidden="false" customHeight="false" outlineLevel="0" collapsed="false">
      <c r="A4" s="4" t="s">
        <v>297</v>
      </c>
      <c r="B4" s="18" t="n">
        <v>9</v>
      </c>
      <c r="C4" s="7" t="str">
        <f aca="false">INDEX('KPI Données'!$E$4:$P$4,1,B4)</f>
        <v>Sept.</v>
      </c>
    </row>
    <row r="5" customFormat="false" ht="15" hidden="false" customHeight="false" outlineLevel="0" collapsed="false">
      <c r="A5" s="4" t="s">
        <v>298</v>
      </c>
      <c r="B5" s="23" t="n">
        <v>0.03</v>
      </c>
    </row>
    <row r="7" customFormat="false" ht="15" hidden="false" customHeight="false" outlineLevel="0" collapsed="false">
      <c r="A7" s="9" t="s">
        <v>299</v>
      </c>
      <c r="B7" s="9" t="s">
        <v>265</v>
      </c>
      <c r="C7" s="9" t="s">
        <v>300</v>
      </c>
      <c r="D7" s="9" t="s">
        <v>301</v>
      </c>
      <c r="E7" s="9" t="s">
        <v>302</v>
      </c>
      <c r="F7" s="9" t="s">
        <v>135</v>
      </c>
      <c r="G7" s="9" t="s">
        <v>303</v>
      </c>
      <c r="H7" s="9" t="s">
        <v>304</v>
      </c>
      <c r="I7" s="9" t="s">
        <v>305</v>
      </c>
      <c r="J7" s="9" t="s">
        <v>306</v>
      </c>
      <c r="K7" s="9" t="s">
        <v>307</v>
      </c>
      <c r="L7" s="9" t="s">
        <v>308</v>
      </c>
    </row>
    <row r="8" customFormat="false" ht="15" hidden="false" customHeight="false" outlineLevel="0" collapsed="false">
      <c r="A8" s="35" t="str">
        <f aca="false">'KPI Données'!A15</f>
        <v>Chiffre d'affaires</v>
      </c>
      <c r="B8" s="7" t="str">
        <f aca="false">'KPI Données'!B15</f>
        <v>k€</v>
      </c>
      <c r="C8" s="7" t="str">
        <f aca="false">'KPI Données'!C15</f>
        <v>Hausse</v>
      </c>
      <c r="D8" s="36" t="n">
        <f aca="false">INDEX('KPI Données'!$E$5:$P$5,1,$B$4)</f>
        <v>2000</v>
      </c>
      <c r="E8" s="36" t="n">
        <f aca="false">INDEX('KPI Données'!$E$15:$P$15,1,$B$4)</f>
        <v>1933.3994</v>
      </c>
      <c r="F8" s="24" t="n">
        <f aca="false">E8-D8</f>
        <v>-66.6006</v>
      </c>
      <c r="G8" s="37" t="n">
        <f aca="false">IFERROR(F8/D8,0)</f>
        <v>-0.0333003</v>
      </c>
      <c r="H8" s="13" t="str">
        <f aca="false">IF(E8="","n.d.",IF(G8*IF(C8="Hausse",1,-1)&gt;=0,"Vert",IF(G8*IF(C8="Hausse",1,-1)&gt;=-$B$5,"Orange","Rouge")))</f>
        <v>Rouge</v>
      </c>
      <c r="I8" s="24" t="n">
        <f aca="false">SUMPRODUCT((COLUMN('KPI Données'!$E$5:$P$5)-COLUMN('KPI Données'!$E$5)+1&lt;=$B$4)*'KPI Données'!$E$5:$P$5)/IF('KPI Données'!$D$15="Somme",1,$B$4)</f>
        <v>18160</v>
      </c>
      <c r="J8" s="24" t="n">
        <f aca="false">SUMPRODUCT((COLUMN('KPI Données'!$E$5:$P$5)-COLUMN('KPI Données'!$E$5)+1&lt;=$B$4)*'KPI Données'!$E$15:$P$15)/IF('KPI Données'!$D$15="Somme",1,$B$4)</f>
        <v>17898.9117</v>
      </c>
      <c r="K8" s="37" t="n">
        <f aca="false">IFERROR((J8-I8)/I8,0)</f>
        <v>-0.014377109030837</v>
      </c>
      <c r="L8" s="13" t="str">
        <f aca="false">IF(K8*IF(C8="Hausse",1,-1)&gt;=0,"Vert",IF(K8*IF(C8="Hausse",1,-1)&gt;=-$B$5,"Orange","Rouge"))</f>
        <v>Orange</v>
      </c>
    </row>
    <row r="9" customFormat="false" ht="15" hidden="false" customHeight="false" outlineLevel="0" collapsed="false">
      <c r="A9" s="35" t="str">
        <f aca="false">'KPI Données'!A16</f>
        <v>Taux de marge brute</v>
      </c>
      <c r="B9" s="7" t="str">
        <f aca="false">'KPI Données'!B16</f>
        <v>%</v>
      </c>
      <c r="C9" s="7" t="str">
        <f aca="false">'KPI Données'!C16</f>
        <v>Hausse</v>
      </c>
      <c r="D9" s="38" t="n">
        <f aca="false">INDEX('KPI Données'!$E$6:$P$6,1,$B$4)</f>
        <v>0.22</v>
      </c>
      <c r="E9" s="38" t="n">
        <f aca="false">INDEX('KPI Données'!$E$16:$P$16,1,$B$4)</f>
        <v>0.2193</v>
      </c>
      <c r="F9" s="37" t="n">
        <f aca="false">E9-D9</f>
        <v>-0.000700000000000006</v>
      </c>
      <c r="G9" s="37" t="n">
        <f aca="false">IFERROR(F9/D9,0)</f>
        <v>-0.00318181818181821</v>
      </c>
      <c r="H9" s="13" t="str">
        <f aca="false">IF(E9="","n.d.",IF(G9*IF(C9="Hausse",1,-1)&gt;=0,"Vert",IF(G9*IF(C9="Hausse",1,-1)&gt;=-$B$5,"Orange","Rouge")))</f>
        <v>Orange</v>
      </c>
      <c r="I9" s="37" t="n">
        <f aca="false">SUMPRODUCT((COLUMN('KPI Données'!$E$6:$P$6)-COLUMN('KPI Données'!$E$6)+1&lt;=$B$4)*'KPI Données'!$E$6:$P$6)/IF('KPI Données'!$D$16="Somme",1,$B$4)</f>
        <v>0.22</v>
      </c>
      <c r="J9" s="37" t="n">
        <f aca="false">SUMPRODUCT((COLUMN('KPI Données'!$E$6:$P$6)-COLUMN('KPI Données'!$E$6)+1&lt;=$B$4)*'KPI Données'!$E$16:$P$16)/IF('KPI Données'!$D$16="Somme",1,$B$4)</f>
        <v>0.216711111111111</v>
      </c>
      <c r="K9" s="37" t="n">
        <f aca="false">IFERROR((J9-I9)/I9,0)</f>
        <v>-0.014949494949495</v>
      </c>
      <c r="L9" s="13" t="str">
        <f aca="false">IF(K9*IF(C9="Hausse",1,-1)&gt;=0,"Vert",IF(K9*IF(C9="Hausse",1,-1)&gt;=-$B$5,"Orange","Rouge"))</f>
        <v>Orange</v>
      </c>
    </row>
    <row r="10" customFormat="false" ht="15" hidden="false" customHeight="false" outlineLevel="0" collapsed="false">
      <c r="A10" s="35" t="str">
        <f aca="false">'KPI Données'!A17</f>
        <v>Coût de revient</v>
      </c>
      <c r="B10" s="7" t="str">
        <f aca="false">'KPI Données'!B17</f>
        <v>€/kg</v>
      </c>
      <c r="C10" s="7" t="str">
        <f aca="false">'KPI Données'!C17</f>
        <v>Baisse</v>
      </c>
      <c r="D10" s="39" t="n">
        <f aca="false">INDEX('KPI Données'!$E$7:$P$7,1,$B$4)</f>
        <v>3.1</v>
      </c>
      <c r="E10" s="39" t="n">
        <f aca="false">INDEX('KPI Données'!$E$17:$P$17,1,$B$4)</f>
        <v>3.1344</v>
      </c>
      <c r="F10" s="40" t="n">
        <f aca="false">E10-D10</f>
        <v>0.0343999999999998</v>
      </c>
      <c r="G10" s="37" t="n">
        <f aca="false">IFERROR(F10/D10,0)</f>
        <v>0.0110967741935483</v>
      </c>
      <c r="H10" s="13" t="str">
        <f aca="false">IF(E10="","n.d.",IF(G10*IF(C10="Hausse",1,-1)&gt;=0,"Vert",IF(G10*IF(C10="Hausse",1,-1)&gt;=-$B$5,"Orange","Rouge")))</f>
        <v>Orange</v>
      </c>
      <c r="I10" s="40" t="n">
        <f aca="false">SUMPRODUCT((COLUMN('KPI Données'!$E$7:$P$7)-COLUMN('KPI Données'!$E$7)+1&lt;=$B$4)*'KPI Données'!$E$7:$P$7)/IF('KPI Données'!$D$17="Somme",1,$B$4)</f>
        <v>3.1</v>
      </c>
      <c r="J10" s="40" t="n">
        <f aca="false">SUMPRODUCT((COLUMN('KPI Données'!$E$7:$P$7)-COLUMN('KPI Données'!$E$7)+1&lt;=$B$4)*'KPI Données'!$E$17:$P$17)/IF('KPI Données'!$D$17="Somme",1,$B$4)</f>
        <v>3.10886666666667</v>
      </c>
      <c r="K10" s="37" t="n">
        <f aca="false">IFERROR((J10-I10)/I10,0)</f>
        <v>0.00286021505376341</v>
      </c>
      <c r="L10" s="13" t="str">
        <f aca="false">IF(K10*IF(C10="Hausse",1,-1)&gt;=0,"Vert",IF(K10*IF(C10="Hausse",1,-1)&gt;=-$B$5,"Orange","Rouge"))</f>
        <v>Orange</v>
      </c>
    </row>
    <row r="11" customFormat="false" ht="15" hidden="false" customHeight="false" outlineLevel="0" collapsed="false">
      <c r="A11" s="35" t="str">
        <f aca="false">'KPI Données'!A18</f>
        <v>Volumes produits</v>
      </c>
      <c r="B11" s="7" t="str">
        <f aca="false">'KPI Données'!B18</f>
        <v>t</v>
      </c>
      <c r="C11" s="7" t="str">
        <f aca="false">'KPI Données'!C18</f>
        <v>Hausse</v>
      </c>
      <c r="D11" s="36" t="n">
        <f aca="false">INDEX('KPI Données'!$E$8:$P$8,1,$B$4)</f>
        <v>650</v>
      </c>
      <c r="E11" s="36" t="n">
        <f aca="false">INDEX('KPI Données'!$E$18:$P$18,1,$B$4)</f>
        <v>638.5324</v>
      </c>
      <c r="F11" s="24" t="n">
        <f aca="false">E11-D11</f>
        <v>-11.4675999999999</v>
      </c>
      <c r="G11" s="37" t="n">
        <f aca="false">IFERROR(F11/D11,0)</f>
        <v>-0.0176424615384615</v>
      </c>
      <c r="H11" s="13" t="str">
        <f aca="false">IF(E11="","n.d.",IF(G11*IF(C11="Hausse",1,-1)&gt;=0,"Vert",IF(G11*IF(C11="Hausse",1,-1)&gt;=-$B$5,"Orange","Rouge")))</f>
        <v>Orange</v>
      </c>
      <c r="I11" s="24" t="n">
        <f aca="false">SUMPRODUCT((COLUMN('KPI Données'!$E$8:$P$8)-COLUMN('KPI Données'!$E$8)+1&lt;=$B$4)*'KPI Données'!$E$8:$P$8)/IF('KPI Données'!$D$18="Somme",1,$B$4)</f>
        <v>5902</v>
      </c>
      <c r="J11" s="24" t="n">
        <f aca="false">SUMPRODUCT((COLUMN('KPI Données'!$E$8:$P$8)-COLUMN('KPI Données'!$E$8)+1&lt;=$B$4)*'KPI Données'!$E$18:$P$18)/IF('KPI Données'!$D$18="Somme",1,$B$4)</f>
        <v>5861.6859</v>
      </c>
      <c r="K11" s="37" t="n">
        <f aca="false">IFERROR((J11-I11)/I11,0)</f>
        <v>-0.00683058285327001</v>
      </c>
      <c r="L11" s="13" t="str">
        <f aca="false">IF(K11*IF(C11="Hausse",1,-1)&gt;=0,"Vert",IF(K11*IF(C11="Hausse",1,-1)&gt;=-$B$5,"Orange","Rouge"))</f>
        <v>Orange</v>
      </c>
    </row>
    <row r="12" customFormat="false" ht="15" hidden="false" customHeight="false" outlineLevel="0" collapsed="false">
      <c r="A12" s="35" t="str">
        <f aca="false">'KPI Données'!A19</f>
        <v>Taux de service client</v>
      </c>
      <c r="B12" s="7" t="str">
        <f aca="false">'KPI Données'!B19</f>
        <v>%</v>
      </c>
      <c r="C12" s="7" t="str">
        <f aca="false">'KPI Données'!C19</f>
        <v>Hausse</v>
      </c>
      <c r="D12" s="38" t="n">
        <f aca="false">INDEX('KPI Données'!$E$9:$P$9,1,$B$4)</f>
        <v>0.97</v>
      </c>
      <c r="E12" s="38" t="n">
        <f aca="false">INDEX('KPI Données'!$E$19:$P$19,1,$B$4)</f>
        <v>0.9568</v>
      </c>
      <c r="F12" s="37" t="n">
        <f aca="false">E12-D12</f>
        <v>-0.0132</v>
      </c>
      <c r="G12" s="37" t="n">
        <f aca="false">IFERROR(F12/D12,0)</f>
        <v>-0.0136082474226804</v>
      </c>
      <c r="H12" s="13" t="str">
        <f aca="false">IF(E12="","n.d.",IF(G12*IF(C12="Hausse",1,-1)&gt;=0,"Vert",IF(G12*IF(C12="Hausse",1,-1)&gt;=-$B$5,"Orange","Rouge")))</f>
        <v>Orange</v>
      </c>
      <c r="I12" s="37" t="n">
        <f aca="false">SUMPRODUCT((COLUMN('KPI Données'!$E$9:$P$9)-COLUMN('KPI Données'!$E$9)+1&lt;=$B$4)*'KPI Données'!$E$9:$P$9)/IF('KPI Données'!$D$19="Somme",1,$B$4)</f>
        <v>0.97</v>
      </c>
      <c r="J12" s="37" t="n">
        <f aca="false">SUMPRODUCT((COLUMN('KPI Données'!$E$9:$P$9)-COLUMN('KPI Données'!$E$9)+1&lt;=$B$4)*'KPI Données'!$E$19:$P$19)/IF('KPI Données'!$D$19="Somme",1,$B$4)</f>
        <v>0.967077777777778</v>
      </c>
      <c r="K12" s="37" t="n">
        <f aca="false">IFERROR((J12-I12)/I12,0)</f>
        <v>-0.00301260022909524</v>
      </c>
      <c r="L12" s="13" t="str">
        <f aca="false">IF(K12*IF(C12="Hausse",1,-1)&gt;=0,"Vert",IF(K12*IF(C12="Hausse",1,-1)&gt;=-$B$5,"Orange","Rouge"))</f>
        <v>Orange</v>
      </c>
    </row>
    <row r="13" customFormat="false" ht="15" hidden="false" customHeight="false" outlineLevel="0" collapsed="false">
      <c r="A13" s="35" t="str">
        <f aca="false">'KPI Données'!A20</f>
        <v>Taux d'absentéisme</v>
      </c>
      <c r="B13" s="7" t="str">
        <f aca="false">'KPI Données'!B20</f>
        <v>%</v>
      </c>
      <c r="C13" s="7" t="str">
        <f aca="false">'KPI Données'!C20</f>
        <v>Baisse</v>
      </c>
      <c r="D13" s="38" t="n">
        <f aca="false">INDEX('KPI Données'!$E$10:$P$10,1,$B$4)</f>
        <v>0.055</v>
      </c>
      <c r="E13" s="38" t="n">
        <f aca="false">INDEX('KPI Données'!$E$20:$P$20,1,$B$4)</f>
        <v>0.057</v>
      </c>
      <c r="F13" s="37" t="n">
        <f aca="false">E13-D13</f>
        <v>0.002</v>
      </c>
      <c r="G13" s="37" t="n">
        <f aca="false">IFERROR(F13/D13,0)</f>
        <v>0.0363636363636364</v>
      </c>
      <c r="H13" s="13" t="str">
        <f aca="false">IF(E13="","n.d.",IF(G13*IF(C13="Hausse",1,-1)&gt;=0,"Vert",IF(G13*IF(C13="Hausse",1,-1)&gt;=-$B$5,"Orange","Rouge")))</f>
        <v>Rouge</v>
      </c>
      <c r="I13" s="37" t="n">
        <f aca="false">SUMPRODUCT((COLUMN('KPI Données'!$E$10:$P$10)-COLUMN('KPI Données'!$E$10)+1&lt;=$B$4)*'KPI Données'!$E$10:$P$10)/IF('KPI Données'!$D$20="Somme",1,$B$4)</f>
        <v>0.055</v>
      </c>
      <c r="J13" s="37" t="n">
        <f aca="false">SUMPRODUCT((COLUMN('KPI Données'!$E$10:$P$10)-COLUMN('KPI Données'!$E$10)+1&lt;=$B$4)*'KPI Données'!$E$20:$P$20)/IF('KPI Données'!$D$20="Somme",1,$B$4)</f>
        <v>0.0556777777777778</v>
      </c>
      <c r="K13" s="37" t="n">
        <f aca="false">IFERROR((J13-I13)/I13,0)</f>
        <v>0.0123232323232323</v>
      </c>
      <c r="L13" s="13" t="str">
        <f aca="false">IF(K13*IF(C13="Hausse",1,-1)&gt;=0,"Vert",IF(K13*IF(C13="Hausse",1,-1)&gt;=-$B$5,"Orange","Rouge"))</f>
        <v>Orange</v>
      </c>
    </row>
    <row r="14" customFormat="false" ht="15" hidden="false" customHeight="false" outlineLevel="0" collapsed="false">
      <c r="A14" s="35" t="str">
        <f aca="false">'KPI Données'!A21</f>
        <v>DSO (délai de paiement clients)</v>
      </c>
      <c r="B14" s="7" t="str">
        <f aca="false">'KPI Données'!B21</f>
        <v>jours</v>
      </c>
      <c r="C14" s="7" t="str">
        <f aca="false">'KPI Données'!C21</f>
        <v>Baisse</v>
      </c>
      <c r="D14" s="41" t="n">
        <f aca="false">INDEX('KPI Données'!$E$11:$P$11,1,$B$4)</f>
        <v>45</v>
      </c>
      <c r="E14" s="41" t="n">
        <f aca="false">INDEX('KPI Données'!$E$21:$P$21,1,$B$4)</f>
        <v>45.8437</v>
      </c>
      <c r="F14" s="42" t="n">
        <f aca="false">E14-D14</f>
        <v>0.843699999999998</v>
      </c>
      <c r="G14" s="37" t="n">
        <f aca="false">IFERROR(F14/D14,0)</f>
        <v>0.0187488888888889</v>
      </c>
      <c r="H14" s="13" t="str">
        <f aca="false">IF(E14="","n.d.",IF(G14*IF(C14="Hausse",1,-1)&gt;=0,"Vert",IF(G14*IF(C14="Hausse",1,-1)&gt;=-$B$5,"Orange","Rouge")))</f>
        <v>Orange</v>
      </c>
      <c r="I14" s="42" t="n">
        <f aca="false">SUMPRODUCT((COLUMN('KPI Données'!$E$11:$P$11)-COLUMN('KPI Données'!$E$11)+1&lt;=$B$4)*'KPI Données'!$E$11:$P$11)/IF('KPI Données'!$D$21="Somme",1,$B$4)</f>
        <v>45</v>
      </c>
      <c r="J14" s="42" t="n">
        <f aca="false">SUMPRODUCT((COLUMN('KPI Données'!$E$11:$P$11)-COLUMN('KPI Données'!$E$11)+1&lt;=$B$4)*'KPI Données'!$E$21:$P$21)/IF('KPI Données'!$D$21="Somme",1,$B$4)</f>
        <v>45.0338444444444</v>
      </c>
      <c r="K14" s="37" t="n">
        <f aca="false">IFERROR((J14-I14)/I14,0)</f>
        <v>0.000752098765432013</v>
      </c>
      <c r="L14" s="13" t="str">
        <f aca="false">IF(K14*IF(C14="Hausse",1,-1)&gt;=0,"Vert",IF(K14*IF(C14="Hausse",1,-1)&gt;=-$B$5,"Orange","Rouge"))</f>
        <v>Orange</v>
      </c>
    </row>
    <row r="16" customFormat="false" ht="15" hidden="false" customHeight="false" outlineLevel="0" collapsed="false">
      <c r="A16" s="19" t="s">
        <v>309</v>
      </c>
      <c r="B16" s="27" t="n">
        <f aca="false">COUNTIF(H8:H14,"Rouge")</f>
        <v>2</v>
      </c>
    </row>
    <row r="17" customFormat="false" ht="15" hidden="false" customHeight="false" outlineLevel="0" collapsed="false">
      <c r="A17" s="4" t="s">
        <v>310</v>
      </c>
      <c r="B17" s="18" t="s">
        <v>311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</sheetData>
  <mergeCells count="1">
    <mergeCell ref="B17:L17"/>
  </mergeCells>
  <conditionalFormatting sqref="H8:H14">
    <cfRule type="cellIs" priority="2" operator="equal" aboveAverage="0" equalAverage="0" bottom="0" percent="0" rank="0" text="" dxfId="0">
      <formula>"Vert"</formula>
    </cfRule>
    <cfRule type="cellIs" priority="3" operator="equal" aboveAverage="0" equalAverage="0" bottom="0" percent="0" rank="0" text="" dxfId="1">
      <formula>"Orange"</formula>
    </cfRule>
    <cfRule type="cellIs" priority="4" operator="equal" aboveAverage="0" equalAverage="0" bottom="0" percent="0" rank="0" text="" dxfId="8">
      <formula>"Rouge"</formula>
    </cfRule>
  </conditionalFormatting>
  <conditionalFormatting sqref="L8:L14">
    <cfRule type="cellIs" priority="5" operator="equal" aboveAverage="0" equalAverage="0" bottom="0" percent="0" rank="0" text="" dxfId="0">
      <formula>"Vert"</formula>
    </cfRule>
    <cfRule type="cellIs" priority="6" operator="equal" aboveAverage="0" equalAverage="0" bottom="0" percent="0" rank="0" text="" dxfId="1">
      <formula>"Orange"</formula>
    </cfRule>
    <cfRule type="cellIs" priority="7" operator="equal" aboveAverage="0" equalAverage="0" bottom="0" percent="0" rank="0" text="" dxfId="8">
      <formula>"Rouge"</formula>
    </cfRule>
  </conditionalFormatting>
  <dataValidations count="1">
    <dataValidation allowBlank="false" errorStyle="stop" operator="between" showDropDown="false" showErrorMessage="fals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9.7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4" customFormat="false" ht="15" hidden="false" customHeight="false" outlineLevel="0" collapsed="false">
      <c r="A4" s="9" t="s">
        <v>314</v>
      </c>
      <c r="B4" s="9" t="s">
        <v>315</v>
      </c>
      <c r="C4" s="9" t="s">
        <v>316</v>
      </c>
      <c r="D4" s="9" t="s">
        <v>317</v>
      </c>
      <c r="E4" s="9" t="s">
        <v>318</v>
      </c>
    </row>
    <row r="5" customFormat="false" ht="15" hidden="false" customHeight="false" outlineLevel="0" collapsed="false">
      <c r="A5" s="11" t="s">
        <v>319</v>
      </c>
      <c r="B5" s="22" t="n">
        <v>310</v>
      </c>
      <c r="C5" s="37" t="n">
        <f aca="false">IFERROR(B5/$B$12,0)</f>
        <v>0.407894736842105</v>
      </c>
      <c r="D5" s="37" t="n">
        <f aca="false">SUM($C$5:C5)</f>
        <v>0.407894736842105</v>
      </c>
      <c r="E5" s="13" t="str">
        <f aca="false">IF(D5-C5&lt;0.8,"A",IF(D5-C5&lt;0.95,"B","C"))</f>
        <v>A</v>
      </c>
      <c r="F5" s="2" t="s">
        <v>320</v>
      </c>
    </row>
    <row r="6" customFormat="false" ht="15" hidden="false" customHeight="false" outlineLevel="0" collapsed="false">
      <c r="A6" s="11" t="s">
        <v>321</v>
      </c>
      <c r="B6" s="22" t="n">
        <v>180</v>
      </c>
      <c r="C6" s="37" t="n">
        <f aca="false">IFERROR(B6/$B$12,0)</f>
        <v>0.236842105263158</v>
      </c>
      <c r="D6" s="37" t="n">
        <f aca="false">SUM($C$5:C6)</f>
        <v>0.644736842105263</v>
      </c>
      <c r="E6" s="13" t="str">
        <f aca="false">IF(D6-C6&lt;0.8,"A",IF(D6-C6&lt;0.95,"B","C"))</f>
        <v>A</v>
      </c>
    </row>
    <row r="7" customFormat="false" ht="15" hidden="false" customHeight="false" outlineLevel="0" collapsed="false">
      <c r="A7" s="11" t="s">
        <v>322</v>
      </c>
      <c r="B7" s="22" t="n">
        <v>120</v>
      </c>
      <c r="C7" s="37" t="n">
        <f aca="false">IFERROR(B7/$B$12,0)</f>
        <v>0.157894736842105</v>
      </c>
      <c r="D7" s="37" t="n">
        <f aca="false">SUM($C$5:C7)</f>
        <v>0.802631578947368</v>
      </c>
      <c r="E7" s="13" t="str">
        <f aca="false">IF(D7-C7&lt;0.8,"A",IF(D7-C7&lt;0.95,"B","C"))</f>
        <v>A</v>
      </c>
    </row>
    <row r="8" customFormat="false" ht="15" hidden="false" customHeight="false" outlineLevel="0" collapsed="false">
      <c r="A8" s="11" t="s">
        <v>323</v>
      </c>
      <c r="B8" s="22" t="n">
        <v>75</v>
      </c>
      <c r="C8" s="37" t="n">
        <f aca="false">IFERROR(B8/$B$12,0)</f>
        <v>0.0986842105263158</v>
      </c>
      <c r="D8" s="37" t="n">
        <f aca="false">SUM($C$5:C8)</f>
        <v>0.901315789473684</v>
      </c>
      <c r="E8" s="13" t="str">
        <f aca="false">IF(D8-C8&lt;0.8,"A",IF(D8-C8&lt;0.95,"B","C"))</f>
        <v>B</v>
      </c>
    </row>
    <row r="9" customFormat="false" ht="15" hidden="false" customHeight="false" outlineLevel="0" collapsed="false">
      <c r="A9" s="11" t="s">
        <v>324</v>
      </c>
      <c r="B9" s="22" t="n">
        <v>40</v>
      </c>
      <c r="C9" s="37" t="n">
        <f aca="false">IFERROR(B9/$B$12,0)</f>
        <v>0.0526315789473684</v>
      </c>
      <c r="D9" s="37" t="n">
        <f aca="false">SUM($C$5:C9)</f>
        <v>0.953947368421053</v>
      </c>
      <c r="E9" s="13" t="str">
        <f aca="false">IF(D9-C9&lt;0.8,"A",IF(D9-C9&lt;0.95,"B","C"))</f>
        <v>B</v>
      </c>
    </row>
    <row r="10" customFormat="false" ht="15" hidden="false" customHeight="false" outlineLevel="0" collapsed="false">
      <c r="A10" s="11" t="s">
        <v>325</v>
      </c>
      <c r="B10" s="22" t="n">
        <v>20</v>
      </c>
      <c r="C10" s="37" t="n">
        <f aca="false">IFERROR(B10/$B$12,0)</f>
        <v>0.0263157894736842</v>
      </c>
      <c r="D10" s="37" t="n">
        <f aca="false">SUM($C$5:C10)</f>
        <v>0.980263157894737</v>
      </c>
      <c r="E10" s="13" t="str">
        <f aca="false">IF(D10-C10&lt;0.8,"A",IF(D10-C10&lt;0.95,"B","C"))</f>
        <v>C</v>
      </c>
    </row>
    <row r="11" customFormat="false" ht="15" hidden="false" customHeight="false" outlineLevel="0" collapsed="false">
      <c r="A11" s="11" t="s">
        <v>326</v>
      </c>
      <c r="B11" s="22" t="n">
        <v>15</v>
      </c>
      <c r="C11" s="37" t="n">
        <f aca="false">IFERROR(B11/$B$12,0)</f>
        <v>0.0197368421052632</v>
      </c>
      <c r="D11" s="37" t="n">
        <f aca="false">SUM($C$5:C11)</f>
        <v>1</v>
      </c>
      <c r="E11" s="13" t="str">
        <f aca="false">IF(D11-C11&lt;0.8,"A",IF(D11-C11&lt;0.95,"B","C"))</f>
        <v>C</v>
      </c>
    </row>
    <row r="12" customFormat="false" ht="15" hidden="false" customHeight="false" outlineLevel="0" collapsed="false">
      <c r="A12" s="19" t="s">
        <v>327</v>
      </c>
      <c r="B12" s="26" t="n">
        <f aca="false">SUM(B5:B11)</f>
        <v>760</v>
      </c>
    </row>
    <row r="14" customFormat="false" ht="15" hidden="false" customHeight="false" outlineLevel="0" collapsed="false">
      <c r="A14" s="3" t="s">
        <v>328</v>
      </c>
    </row>
    <row r="15" customFormat="false" ht="23.85" hidden="false" customHeight="false" outlineLevel="0" collapsed="false">
      <c r="A15" s="9" t="s">
        <v>329</v>
      </c>
      <c r="B15" s="9" t="s">
        <v>330</v>
      </c>
      <c r="C15" s="9" t="s">
        <v>331</v>
      </c>
      <c r="D15" s="9" t="s">
        <v>332</v>
      </c>
      <c r="E15" s="9" t="s">
        <v>17</v>
      </c>
      <c r="F15" s="9" t="s">
        <v>333</v>
      </c>
      <c r="G15" s="9" t="s">
        <v>334</v>
      </c>
      <c r="H15" s="9" t="s">
        <v>335</v>
      </c>
    </row>
    <row r="16" customFormat="false" ht="23.85" hidden="false" customHeight="false" outlineLevel="0" collapsed="false">
      <c r="A16" s="43" t="s">
        <v>319</v>
      </c>
      <c r="B16" s="43" t="s">
        <v>336</v>
      </c>
      <c r="C16" s="43" t="s">
        <v>337</v>
      </c>
      <c r="D16" s="43" t="s">
        <v>338</v>
      </c>
      <c r="E16" s="43" t="s">
        <v>339</v>
      </c>
      <c r="F16" s="44" t="n">
        <v>150</v>
      </c>
      <c r="G16" s="44" t="n">
        <v>40</v>
      </c>
      <c r="H16" s="43" t="s">
        <v>340</v>
      </c>
    </row>
    <row r="17" customFormat="false" ht="23.85" hidden="false" customHeight="false" outlineLevel="0" collapsed="false">
      <c r="A17" s="43" t="s">
        <v>321</v>
      </c>
      <c r="B17" s="43" t="s">
        <v>341</v>
      </c>
      <c r="C17" s="43" t="s">
        <v>342</v>
      </c>
      <c r="D17" s="43" t="s">
        <v>343</v>
      </c>
      <c r="E17" s="43" t="s">
        <v>56</v>
      </c>
      <c r="F17" s="44" t="n">
        <v>90</v>
      </c>
      <c r="G17" s="44" t="n">
        <v>0</v>
      </c>
      <c r="H17" s="43" t="s">
        <v>344</v>
      </c>
    </row>
    <row r="18" customFormat="false" ht="15" hidden="false" customHeight="false" outlineLevel="0" collapsed="false">
      <c r="A18" s="43" t="s">
        <v>322</v>
      </c>
      <c r="B18" s="43" t="s">
        <v>345</v>
      </c>
      <c r="C18" s="43" t="s">
        <v>346</v>
      </c>
      <c r="D18" s="43" t="s">
        <v>347</v>
      </c>
      <c r="E18" s="43" t="s">
        <v>56</v>
      </c>
      <c r="F18" s="44" t="n">
        <v>60</v>
      </c>
      <c r="G18" s="44" t="n">
        <v>0</v>
      </c>
      <c r="H18" s="43" t="s">
        <v>348</v>
      </c>
    </row>
    <row r="19" customFormat="false" ht="15" hidden="false" customHeight="false" outlineLevel="0" collapsed="false">
      <c r="A19" s="43"/>
      <c r="B19" s="43"/>
      <c r="C19" s="43"/>
      <c r="D19" s="43"/>
      <c r="E19" s="43" t="s">
        <v>56</v>
      </c>
      <c r="F19" s="44" t="n">
        <v>0</v>
      </c>
      <c r="G19" s="44" t="n">
        <v>0</v>
      </c>
      <c r="H19" s="43"/>
    </row>
    <row r="20" customFormat="false" ht="15" hidden="false" customHeight="false" outlineLevel="0" collapsed="false">
      <c r="A20" s="43"/>
      <c r="B20" s="43"/>
      <c r="C20" s="43"/>
      <c r="D20" s="43"/>
      <c r="E20" s="43" t="s">
        <v>56</v>
      </c>
      <c r="F20" s="44" t="n">
        <v>0</v>
      </c>
      <c r="G20" s="44" t="n">
        <v>0</v>
      </c>
      <c r="H20" s="43"/>
    </row>
    <row r="21" customFormat="false" ht="15" hidden="false" customHeight="false" outlineLevel="0" collapsed="false">
      <c r="A21" s="19" t="s">
        <v>349</v>
      </c>
      <c r="F21" s="26" t="n">
        <f aca="false">SUM(F16:F20)</f>
        <v>300</v>
      </c>
      <c r="G21" s="26" t="n">
        <f aca="false">SUM(G16:G20)</f>
        <v>40</v>
      </c>
    </row>
    <row r="22" customFormat="false" ht="15" hidden="false" customHeight="false" outlineLevel="0" collapsed="false">
      <c r="A22" s="4" t="s">
        <v>350</v>
      </c>
      <c r="F22" s="45" t="n">
        <f aca="false">IFERROR(F21/B12,0)</f>
        <v>0.394736842105263</v>
      </c>
    </row>
    <row r="23" customFormat="false" ht="15" hidden="false" customHeight="false" outlineLevel="0" collapsed="false">
      <c r="A23" s="4" t="s">
        <v>351</v>
      </c>
      <c r="F23" s="4" t="str">
        <f aca="false">COUNTIF(E16:E20,"Terminé")&amp;" / "&amp;COUNTA(B16:B20)</f>
        <v>0 / 3</v>
      </c>
    </row>
  </sheetData>
  <dataValidations count="1">
    <dataValidation allowBlank="false" errorStyle="stop" operator="between" showDropDown="false" showErrorMessage="false" showInputMessage="false" sqref="E16:E20" type="list">
      <formula1>"À faire,En cours,Terminé"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7" min="5" style="0" width="14"/>
  </cols>
  <sheetData>
    <row r="1" customFormat="false" ht="19.7" hidden="false" customHeight="false" outlineLevel="0" collapsed="false">
      <c r="A1" s="1" t="s">
        <v>352</v>
      </c>
    </row>
    <row r="2" customFormat="false" ht="15" hidden="false" customHeight="false" outlineLevel="0" collapsed="false">
      <c r="A2" s="2" t="s">
        <v>353</v>
      </c>
    </row>
    <row r="4" customFormat="false" ht="15" hidden="false" customHeight="false" outlineLevel="0" collapsed="false">
      <c r="A4" s="9" t="s">
        <v>354</v>
      </c>
      <c r="B4" s="9" t="s">
        <v>355</v>
      </c>
      <c r="C4" s="9" t="s">
        <v>356</v>
      </c>
      <c r="D4" s="9" t="s">
        <v>357</v>
      </c>
      <c r="E4" s="9" t="s">
        <v>358</v>
      </c>
      <c r="F4" s="9" t="s">
        <v>359</v>
      </c>
      <c r="G4" s="9" t="s">
        <v>360</v>
      </c>
    </row>
    <row r="5" customFormat="false" ht="23.85" hidden="false" customHeight="false" outlineLevel="0" collapsed="false">
      <c r="A5" s="46" t="s">
        <v>361</v>
      </c>
      <c r="B5" s="14" t="s">
        <v>362</v>
      </c>
      <c r="C5" s="14" t="s">
        <v>363</v>
      </c>
      <c r="D5" s="14" t="s">
        <v>364</v>
      </c>
      <c r="E5" s="17" t="s">
        <v>365</v>
      </c>
      <c r="F5" s="17" t="s">
        <v>366</v>
      </c>
      <c r="G5" s="17" t="s">
        <v>365</v>
      </c>
    </row>
    <row r="6" customFormat="false" ht="15" hidden="false" customHeight="false" outlineLevel="0" collapsed="false">
      <c r="A6" s="46" t="s">
        <v>361</v>
      </c>
      <c r="B6" s="14" t="s">
        <v>367</v>
      </c>
      <c r="C6" s="14" t="s">
        <v>368</v>
      </c>
      <c r="D6" s="14" t="s">
        <v>369</v>
      </c>
      <c r="E6" s="17" t="s">
        <v>365</v>
      </c>
      <c r="F6" s="17" t="s">
        <v>365</v>
      </c>
      <c r="G6" s="17" t="s">
        <v>366</v>
      </c>
    </row>
    <row r="7" customFormat="false" ht="23.85" hidden="false" customHeight="false" outlineLevel="0" collapsed="false">
      <c r="A7" s="46" t="s">
        <v>370</v>
      </c>
      <c r="B7" s="14" t="s">
        <v>371</v>
      </c>
      <c r="C7" s="14" t="s">
        <v>372</v>
      </c>
      <c r="D7" s="14" t="s">
        <v>373</v>
      </c>
      <c r="E7" s="17" t="s">
        <v>365</v>
      </c>
      <c r="F7" s="17" t="s">
        <v>366</v>
      </c>
      <c r="G7" s="17" t="s">
        <v>366</v>
      </c>
    </row>
    <row r="8" customFormat="false" ht="15" hidden="false" customHeight="false" outlineLevel="0" collapsed="false">
      <c r="A8" s="46" t="s">
        <v>370</v>
      </c>
      <c r="B8" s="14" t="s">
        <v>374</v>
      </c>
      <c r="C8" s="14" t="s">
        <v>375</v>
      </c>
      <c r="D8" s="14" t="s">
        <v>376</v>
      </c>
      <c r="E8" s="17" t="s">
        <v>365</v>
      </c>
      <c r="F8" s="17" t="s">
        <v>365</v>
      </c>
      <c r="G8" s="17" t="s">
        <v>365</v>
      </c>
    </row>
    <row r="9" customFormat="false" ht="15" hidden="false" customHeight="false" outlineLevel="0" collapsed="false">
      <c r="A9" s="46" t="s">
        <v>377</v>
      </c>
      <c r="B9" s="14" t="s">
        <v>378</v>
      </c>
      <c r="C9" s="14" t="s">
        <v>379</v>
      </c>
      <c r="D9" s="14" t="s">
        <v>380</v>
      </c>
      <c r="E9" s="17" t="s">
        <v>365</v>
      </c>
      <c r="F9" s="17" t="s">
        <v>365</v>
      </c>
      <c r="G9" s="17" t="s">
        <v>366</v>
      </c>
    </row>
    <row r="10" customFormat="false" ht="23.85" hidden="false" customHeight="false" outlineLevel="0" collapsed="false">
      <c r="A10" s="46" t="s">
        <v>377</v>
      </c>
      <c r="B10" s="14" t="s">
        <v>381</v>
      </c>
      <c r="C10" s="14" t="s">
        <v>382</v>
      </c>
      <c r="D10" s="14" t="s">
        <v>383</v>
      </c>
      <c r="E10" s="17" t="s">
        <v>366</v>
      </c>
      <c r="F10" s="17" t="s">
        <v>365</v>
      </c>
      <c r="G10" s="17" t="s">
        <v>365</v>
      </c>
    </row>
    <row r="11" customFormat="false" ht="15" hidden="false" customHeight="false" outlineLevel="0" collapsed="false">
      <c r="A11" s="46" t="s">
        <v>384</v>
      </c>
      <c r="B11" s="14" t="s">
        <v>385</v>
      </c>
      <c r="C11" s="14" t="s">
        <v>386</v>
      </c>
      <c r="D11" s="14" t="s">
        <v>387</v>
      </c>
      <c r="E11" s="17" t="s">
        <v>365</v>
      </c>
      <c r="F11" s="17" t="s">
        <v>365</v>
      </c>
      <c r="G11" s="17" t="s">
        <v>388</v>
      </c>
    </row>
    <row r="12" customFormat="false" ht="15" hidden="false" customHeight="false" outlineLevel="0" collapsed="false">
      <c r="A12" s="46" t="s">
        <v>384</v>
      </c>
      <c r="B12" s="14" t="s">
        <v>389</v>
      </c>
      <c r="C12" s="14" t="s">
        <v>390</v>
      </c>
      <c r="D12" s="14" t="s">
        <v>391</v>
      </c>
      <c r="E12" s="17" t="s">
        <v>365</v>
      </c>
      <c r="F12" s="17" t="s">
        <v>366</v>
      </c>
      <c r="G12" s="17" t="s">
        <v>388</v>
      </c>
    </row>
    <row r="13" customFormat="false" ht="15" hidden="false" customHeight="false" outlineLevel="0" collapsed="false">
      <c r="A13" s="46" t="s">
        <v>392</v>
      </c>
      <c r="B13" s="14" t="s">
        <v>393</v>
      </c>
      <c r="C13" s="14" t="s">
        <v>394</v>
      </c>
      <c r="D13" s="14" t="s">
        <v>395</v>
      </c>
      <c r="E13" s="17" t="s">
        <v>365</v>
      </c>
      <c r="F13" s="17" t="s">
        <v>365</v>
      </c>
      <c r="G13" s="17" t="s">
        <v>365</v>
      </c>
    </row>
    <row r="14" customFormat="false" ht="15" hidden="false" customHeight="false" outlineLevel="0" collapsed="false">
      <c r="A14" s="46" t="s">
        <v>392</v>
      </c>
      <c r="B14" s="14" t="s">
        <v>396</v>
      </c>
      <c r="C14" s="14" t="s">
        <v>397</v>
      </c>
      <c r="D14" s="14" t="s">
        <v>398</v>
      </c>
      <c r="E14" s="17" t="s">
        <v>365</v>
      </c>
      <c r="F14" s="17" t="s">
        <v>365</v>
      </c>
      <c r="G14" s="17" t="s">
        <v>366</v>
      </c>
    </row>
    <row r="15" customFormat="false" ht="15" hidden="false" customHeight="false" outlineLevel="0" collapsed="false">
      <c r="A15" s="46" t="s">
        <v>399</v>
      </c>
      <c r="B15" s="14" t="s">
        <v>400</v>
      </c>
      <c r="C15" s="14" t="s">
        <v>401</v>
      </c>
      <c r="D15" s="14" t="s">
        <v>402</v>
      </c>
      <c r="E15" s="17" t="s">
        <v>365</v>
      </c>
      <c r="F15" s="17" t="s">
        <v>365</v>
      </c>
      <c r="G15" s="17" t="s">
        <v>365</v>
      </c>
    </row>
    <row r="16" customFormat="false" ht="23.85" hidden="false" customHeight="false" outlineLevel="0" collapsed="false">
      <c r="A16" s="46" t="s">
        <v>403</v>
      </c>
      <c r="B16" s="14" t="s">
        <v>404</v>
      </c>
      <c r="C16" s="14" t="s">
        <v>405</v>
      </c>
      <c r="D16" s="14" t="s">
        <v>406</v>
      </c>
      <c r="E16" s="17" t="s">
        <v>388</v>
      </c>
      <c r="F16" s="17" t="s">
        <v>365</v>
      </c>
      <c r="G16" s="17" t="s">
        <v>365</v>
      </c>
    </row>
    <row r="17" customFormat="false" ht="15" hidden="false" customHeight="false" outlineLevel="0" collapsed="false">
      <c r="A17" s="46" t="s">
        <v>407</v>
      </c>
      <c r="B17" s="14" t="s">
        <v>408</v>
      </c>
      <c r="C17" s="14" t="s">
        <v>409</v>
      </c>
      <c r="D17" s="14" t="s">
        <v>410</v>
      </c>
      <c r="E17" s="17" t="s">
        <v>365</v>
      </c>
      <c r="F17" s="17" t="s">
        <v>366</v>
      </c>
      <c r="G17" s="17" t="s">
        <v>365</v>
      </c>
    </row>
    <row r="18" customFormat="false" ht="15" hidden="false" customHeight="false" outlineLevel="0" collapsed="false">
      <c r="A18" s="46" t="s">
        <v>407</v>
      </c>
      <c r="B18" s="14" t="s">
        <v>411</v>
      </c>
      <c r="C18" s="14" t="s">
        <v>412</v>
      </c>
      <c r="D18" s="14" t="s">
        <v>413</v>
      </c>
      <c r="E18" s="17" t="s">
        <v>365</v>
      </c>
      <c r="F18" s="17" t="s">
        <v>365</v>
      </c>
      <c r="G18" s="17" t="s">
        <v>366</v>
      </c>
    </row>
    <row r="19" customFormat="false" ht="23.85" hidden="false" customHeight="false" outlineLevel="0" collapsed="false">
      <c r="A19" s="46" t="s">
        <v>414</v>
      </c>
      <c r="B19" s="14" t="s">
        <v>415</v>
      </c>
      <c r="C19" s="14" t="s">
        <v>416</v>
      </c>
      <c r="D19" s="14" t="s">
        <v>417</v>
      </c>
      <c r="E19" s="17" t="s">
        <v>365</v>
      </c>
      <c r="F19" s="17" t="s">
        <v>366</v>
      </c>
      <c r="G19" s="17" t="s">
        <v>365</v>
      </c>
    </row>
    <row r="20" customFormat="false" ht="15" hidden="false" customHeight="false" outlineLevel="0" collapsed="false">
      <c r="D20" s="19" t="s">
        <v>418</v>
      </c>
      <c r="E20" s="27" t="n">
        <f aca="false">COUNTIF(E5:E19,"Conforme")</f>
        <v>13</v>
      </c>
      <c r="F20" s="27" t="n">
        <f aca="false">COUNTIF(F5:F19,"Conforme")</f>
        <v>10</v>
      </c>
      <c r="G20" s="27" t="n">
        <f aca="false">COUNTIF(G5:G19,"Conforme")</f>
        <v>8</v>
      </c>
    </row>
    <row r="21" customFormat="false" ht="15" hidden="false" customHeight="false" outlineLevel="0" collapsed="false">
      <c r="D21" s="19" t="s">
        <v>419</v>
      </c>
      <c r="E21" s="27" t="n">
        <f aca="false">COUNTIF(E5:E19,"Non conforme")</f>
        <v>1</v>
      </c>
      <c r="F21" s="27" t="n">
        <f aca="false">COUNTIF(F5:F19,"Non conforme")</f>
        <v>5</v>
      </c>
      <c r="G21" s="27" t="n">
        <f aca="false">COUNTIF(G5:G19,"Non conforme")</f>
        <v>5</v>
      </c>
    </row>
    <row r="22" customFormat="false" ht="15" hidden="false" customHeight="false" outlineLevel="0" collapsed="false">
      <c r="D22" s="19" t="s">
        <v>420</v>
      </c>
      <c r="E22" s="21" t="n">
        <f aca="false">IFERROR(E20/(E20+E21),0)</f>
        <v>0.928571428571429</v>
      </c>
      <c r="F22" s="21" t="n">
        <f aca="false">IFERROR(F20/(F20+F21),0)</f>
        <v>0.666666666666667</v>
      </c>
      <c r="G22" s="21" t="n">
        <f aca="false">IFERROR(G20/(G20+G21),0)</f>
        <v>0.615384615384615</v>
      </c>
    </row>
    <row r="23" customFormat="false" ht="15" hidden="false" customHeight="false" outlineLevel="0" collapsed="false">
      <c r="D23" s="19" t="s">
        <v>421</v>
      </c>
      <c r="E23" s="27" t="str">
        <f aca="false">IF(E22&gt;=0.9,"Satisfaisant",IF(E22&gt;=0.75,"À améliorer","Insuffisant"))</f>
        <v>Satisfaisant</v>
      </c>
      <c r="F23" s="27" t="str">
        <f aca="false">IF(F22&gt;=0.9,"Satisfaisant",IF(F22&gt;=0.75,"À améliorer","Insuffisant"))</f>
        <v>Insuffisant</v>
      </c>
      <c r="G23" s="27" t="str">
        <f aca="false">IF(G22&gt;=0.9,"Satisfaisant",IF(G22&gt;=0.75,"À améliorer","Insuffisant"))</f>
        <v>Insuffisant</v>
      </c>
    </row>
  </sheetData>
  <conditionalFormatting sqref="E5:G19">
    <cfRule type="cellIs" priority="2" operator="equal" aboveAverage="0" equalAverage="0" bottom="0" percent="0" rank="0" text="" dxfId="8">
      <formula>"Non conforme"</formula>
    </cfRule>
    <cfRule type="cellIs" priority="3" operator="equal" aboveAverage="0" equalAverage="0" bottom="0" percent="0" rank="0" text="" dxfId="0">
      <formula>"Conforme"</formula>
    </cfRule>
  </conditionalFormatting>
  <dataValidations count="1">
    <dataValidation allowBlank="false" errorStyle="stop" operator="between" showDropDown="false" showErrorMessage="false" showInputMessage="false" sqref="E5:G19" type="list">
      <formula1>"Conforme,Non conforme,N.A."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15" hidden="false" customHeight="false" outlineLevel="0" collapsed="false">
      <c r="A4" s="9" t="s">
        <v>424</v>
      </c>
      <c r="B4" s="9" t="s">
        <v>425</v>
      </c>
      <c r="C4" s="9" t="s">
        <v>331</v>
      </c>
      <c r="D4" s="9" t="s">
        <v>426</v>
      </c>
      <c r="E4" s="9" t="s">
        <v>17</v>
      </c>
    </row>
    <row r="5" customFormat="false" ht="15" hidden="false" customHeight="false" outlineLevel="0" collapsed="false">
      <c r="A5" s="10" t="s">
        <v>427</v>
      </c>
      <c r="B5" s="14" t="s">
        <v>428</v>
      </c>
      <c r="C5" s="14" t="s">
        <v>429</v>
      </c>
      <c r="D5" s="14" t="s">
        <v>430</v>
      </c>
      <c r="E5" s="17" t="s">
        <v>51</v>
      </c>
    </row>
    <row r="6" customFormat="false" ht="15" hidden="false" customHeight="false" outlineLevel="0" collapsed="false">
      <c r="A6" s="10" t="s">
        <v>431</v>
      </c>
      <c r="B6" s="14" t="s">
        <v>432</v>
      </c>
      <c r="C6" s="14" t="s">
        <v>433</v>
      </c>
      <c r="D6" s="14" t="s">
        <v>434</v>
      </c>
      <c r="E6" s="17" t="s">
        <v>56</v>
      </c>
    </row>
    <row r="7" customFormat="false" ht="15" hidden="false" customHeight="false" outlineLevel="0" collapsed="false">
      <c r="A7" s="10" t="s">
        <v>435</v>
      </c>
      <c r="B7" s="14" t="s">
        <v>436</v>
      </c>
      <c r="C7" s="14" t="s">
        <v>433</v>
      </c>
      <c r="D7" s="14" t="s">
        <v>437</v>
      </c>
      <c r="E7" s="17" t="s">
        <v>56</v>
      </c>
    </row>
    <row r="8" customFormat="false" ht="15" hidden="false" customHeight="false" outlineLevel="0" collapsed="false">
      <c r="A8" s="10" t="s">
        <v>438</v>
      </c>
      <c r="B8" s="14" t="s">
        <v>439</v>
      </c>
      <c r="C8" s="14" t="s">
        <v>433</v>
      </c>
      <c r="D8" s="14" t="s">
        <v>440</v>
      </c>
      <c r="E8" s="17" t="s">
        <v>56</v>
      </c>
    </row>
    <row r="9" customFormat="false" ht="15" hidden="false" customHeight="false" outlineLevel="0" collapsed="false">
      <c r="A9" s="10" t="s">
        <v>441</v>
      </c>
      <c r="B9" s="14" t="s">
        <v>442</v>
      </c>
      <c r="C9" s="14" t="s">
        <v>433</v>
      </c>
      <c r="D9" s="14" t="s">
        <v>443</v>
      </c>
      <c r="E9" s="17" t="s">
        <v>56</v>
      </c>
    </row>
    <row r="10" customFormat="false" ht="15" hidden="false" customHeight="false" outlineLevel="0" collapsed="false">
      <c r="A10" s="10" t="s">
        <v>444</v>
      </c>
      <c r="B10" s="14" t="s">
        <v>445</v>
      </c>
      <c r="C10" s="14" t="s">
        <v>446</v>
      </c>
      <c r="D10" s="14" t="s">
        <v>447</v>
      </c>
      <c r="E10" s="17" t="s">
        <v>56</v>
      </c>
    </row>
    <row r="11" customFormat="false" ht="15" hidden="false" customHeight="false" outlineLevel="0" collapsed="false">
      <c r="A11" s="10" t="s">
        <v>448</v>
      </c>
      <c r="B11" s="14" t="s">
        <v>449</v>
      </c>
      <c r="C11" s="14" t="s">
        <v>450</v>
      </c>
      <c r="D11" s="14" t="s">
        <v>451</v>
      </c>
      <c r="E11" s="17" t="s">
        <v>56</v>
      </c>
    </row>
    <row r="12" customFormat="false" ht="15" hidden="false" customHeight="false" outlineLevel="0" collapsed="false">
      <c r="A12" s="10" t="s">
        <v>452</v>
      </c>
      <c r="B12" s="14" t="s">
        <v>453</v>
      </c>
      <c r="C12" s="14" t="s">
        <v>446</v>
      </c>
      <c r="D12" s="14" t="s">
        <v>454</v>
      </c>
      <c r="E12" s="17" t="s">
        <v>56</v>
      </c>
    </row>
    <row r="13" customFormat="false" ht="15" hidden="false" customHeight="false" outlineLevel="0" collapsed="false">
      <c r="A13" s="10" t="s">
        <v>455</v>
      </c>
      <c r="B13" s="14" t="s">
        <v>456</v>
      </c>
      <c r="C13" s="14" t="s">
        <v>446</v>
      </c>
      <c r="D13" s="14" t="s">
        <v>457</v>
      </c>
      <c r="E13" s="17" t="s">
        <v>56</v>
      </c>
    </row>
    <row r="14" customFormat="false" ht="15" hidden="false" customHeight="false" outlineLevel="0" collapsed="false">
      <c r="A14" s="10" t="s">
        <v>458</v>
      </c>
      <c r="B14" s="14" t="s">
        <v>459</v>
      </c>
      <c r="C14" s="14" t="s">
        <v>446</v>
      </c>
      <c r="D14" s="14" t="s">
        <v>460</v>
      </c>
      <c r="E14" s="17" t="s">
        <v>56</v>
      </c>
    </row>
    <row r="15" customFormat="false" ht="15" hidden="false" customHeight="false" outlineLevel="0" collapsed="false">
      <c r="D15" s="19" t="s">
        <v>461</v>
      </c>
      <c r="E15" s="21" t="n">
        <f aca="false">COUNTIF(E5:E14,"Terminé")/COUNTA(B5:B14)</f>
        <v>0.1</v>
      </c>
    </row>
  </sheetData>
  <conditionalFormatting sqref="E5:E14">
    <cfRule type="cellIs" priority="2" operator="equal" aboveAverage="0" equalAverage="0" bottom="0" percent="0" rank="0" text="" dxfId="0">
      <formula>"Terminé"</formula>
    </cfRule>
  </conditionalFormatting>
  <dataValidations count="1">
    <dataValidation allowBlank="false" errorStyle="stop" operator="between" showDropDown="false" showErrorMessage="false" showInputMessage="false" sqref="E5:E14" type="list">
      <formula1>"À faire,En cours,Terminé"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1" t="s">
        <v>462</v>
      </c>
    </row>
    <row r="2" customFormat="false" ht="15" hidden="false" customHeight="false" outlineLevel="0" collapsed="false">
      <c r="A2" s="2" t="s">
        <v>463</v>
      </c>
    </row>
    <row r="4" customFormat="false" ht="15" hidden="false" customHeight="false" outlineLevel="0" collapsed="false">
      <c r="A4" s="9" t="s">
        <v>11</v>
      </c>
      <c r="B4" s="9" t="s">
        <v>464</v>
      </c>
      <c r="C4" s="9" t="s">
        <v>44</v>
      </c>
      <c r="D4" s="9" t="s">
        <v>465</v>
      </c>
      <c r="E4" s="9" t="s">
        <v>466</v>
      </c>
      <c r="F4" s="9" t="s">
        <v>467</v>
      </c>
    </row>
    <row r="5" customFormat="false" ht="23.85" hidden="false" customHeight="false" outlineLevel="0" collapsed="false">
      <c r="A5" s="14" t="s">
        <v>468</v>
      </c>
      <c r="B5" s="14" t="s">
        <v>469</v>
      </c>
      <c r="C5" s="46" t="s">
        <v>470</v>
      </c>
      <c r="D5" s="14" t="s">
        <v>471</v>
      </c>
      <c r="E5" s="14" t="s">
        <v>472</v>
      </c>
      <c r="F5" s="14" t="s">
        <v>473</v>
      </c>
    </row>
    <row r="6" customFormat="false" ht="15" hidden="false" customHeight="false" outlineLevel="0" collapsed="false">
      <c r="A6" s="14" t="s">
        <v>18</v>
      </c>
      <c r="B6" s="14" t="s">
        <v>469</v>
      </c>
      <c r="C6" s="46" t="s">
        <v>474</v>
      </c>
      <c r="D6" s="14" t="s">
        <v>475</v>
      </c>
      <c r="E6" s="14" t="s">
        <v>472</v>
      </c>
      <c r="F6" s="14" t="s">
        <v>476</v>
      </c>
    </row>
    <row r="7" customFormat="false" ht="23.85" hidden="false" customHeight="false" outlineLevel="0" collapsed="false">
      <c r="A7" s="14" t="s">
        <v>18</v>
      </c>
      <c r="B7" s="14" t="s">
        <v>477</v>
      </c>
      <c r="C7" s="46" t="s">
        <v>478</v>
      </c>
      <c r="D7" s="14" t="s">
        <v>479</v>
      </c>
      <c r="E7" s="14" t="s">
        <v>480</v>
      </c>
      <c r="F7" s="14" t="s">
        <v>481</v>
      </c>
    </row>
    <row r="8" customFormat="false" ht="15" hidden="false" customHeight="false" outlineLevel="0" collapsed="false">
      <c r="A8" s="14" t="s">
        <v>18</v>
      </c>
      <c r="B8" s="14" t="s">
        <v>482</v>
      </c>
      <c r="C8" s="46" t="s">
        <v>483</v>
      </c>
      <c r="D8" s="14" t="s">
        <v>484</v>
      </c>
      <c r="E8" s="14" t="s">
        <v>485</v>
      </c>
      <c r="F8" s="14" t="s">
        <v>486</v>
      </c>
    </row>
    <row r="9" customFormat="false" ht="15" hidden="false" customHeight="false" outlineLevel="0" collapsed="false">
      <c r="A9" s="14" t="s">
        <v>22</v>
      </c>
      <c r="B9" s="14" t="s">
        <v>487</v>
      </c>
      <c r="C9" s="46" t="s">
        <v>488</v>
      </c>
      <c r="D9" s="14" t="s">
        <v>489</v>
      </c>
      <c r="E9" s="14" t="s">
        <v>490</v>
      </c>
      <c r="F9" s="14" t="s">
        <v>491</v>
      </c>
    </row>
    <row r="10" customFormat="false" ht="23.85" hidden="false" customHeight="false" outlineLevel="0" collapsed="false">
      <c r="A10" s="14" t="s">
        <v>26</v>
      </c>
      <c r="B10" s="14" t="s">
        <v>469</v>
      </c>
      <c r="C10" s="46" t="s">
        <v>492</v>
      </c>
      <c r="D10" s="14" t="s">
        <v>493</v>
      </c>
      <c r="E10" s="14" t="s">
        <v>472</v>
      </c>
      <c r="F10" s="14" t="s">
        <v>494</v>
      </c>
    </row>
    <row r="11" customFormat="false" ht="15" hidden="false" customHeight="false" outlineLevel="0" collapsed="false">
      <c r="A11" s="14" t="s">
        <v>495</v>
      </c>
      <c r="B11" s="14" t="s">
        <v>469</v>
      </c>
      <c r="C11" s="46" t="s">
        <v>496</v>
      </c>
      <c r="D11" s="14" t="s">
        <v>497</v>
      </c>
      <c r="E11" s="14" t="s">
        <v>472</v>
      </c>
      <c r="F11" s="14" t="s">
        <v>498</v>
      </c>
    </row>
    <row r="12" customFormat="false" ht="15" hidden="false" customHeight="false" outlineLevel="0" collapsed="false">
      <c r="A12" s="14" t="s">
        <v>28</v>
      </c>
      <c r="B12" s="14" t="s">
        <v>469</v>
      </c>
      <c r="C12" s="46" t="s">
        <v>499</v>
      </c>
      <c r="D12" s="14" t="s">
        <v>500</v>
      </c>
      <c r="E12" s="14" t="s">
        <v>472</v>
      </c>
      <c r="F12" s="14" t="s">
        <v>501</v>
      </c>
    </row>
    <row r="13" customFormat="false" ht="15" hidden="false" customHeight="false" outlineLevel="0" collapsed="false">
      <c r="A13" s="14" t="s">
        <v>32</v>
      </c>
      <c r="B13" s="14" t="s">
        <v>502</v>
      </c>
      <c r="C13" s="46" t="s">
        <v>503</v>
      </c>
      <c r="D13" s="14" t="s">
        <v>504</v>
      </c>
      <c r="E13" s="14" t="s">
        <v>505</v>
      </c>
      <c r="F13" s="14" t="s">
        <v>506</v>
      </c>
    </row>
    <row r="14" customFormat="false" ht="15" hidden="false" customHeight="false" outlineLevel="0" collapsed="false">
      <c r="A14" s="14" t="s">
        <v>32</v>
      </c>
      <c r="B14" s="14" t="s">
        <v>502</v>
      </c>
      <c r="C14" s="46" t="s">
        <v>507</v>
      </c>
      <c r="D14" s="14" t="s">
        <v>508</v>
      </c>
      <c r="E14" s="14" t="s">
        <v>480</v>
      </c>
      <c r="F14" s="14" t="s">
        <v>509</v>
      </c>
    </row>
    <row r="15" customFormat="false" ht="23.85" hidden="false" customHeight="false" outlineLevel="0" collapsed="false">
      <c r="A15" s="14" t="s">
        <v>32</v>
      </c>
      <c r="B15" s="14" t="s">
        <v>510</v>
      </c>
      <c r="C15" s="46" t="s">
        <v>511</v>
      </c>
      <c r="D15" s="14" t="s">
        <v>512</v>
      </c>
      <c r="E15" s="14" t="s">
        <v>513</v>
      </c>
      <c r="F15" s="14" t="s">
        <v>514</v>
      </c>
    </row>
    <row r="16" customFormat="false" ht="15" hidden="false" customHeight="false" outlineLevel="0" collapsed="false">
      <c r="A16" s="14" t="s">
        <v>34</v>
      </c>
      <c r="B16" s="14" t="s">
        <v>515</v>
      </c>
      <c r="C16" s="46" t="s">
        <v>516</v>
      </c>
      <c r="D16" s="14" t="s">
        <v>517</v>
      </c>
      <c r="E16" s="14" t="s">
        <v>480</v>
      </c>
      <c r="F16" s="14" t="s">
        <v>518</v>
      </c>
    </row>
    <row r="17" customFormat="false" ht="23.85" hidden="false" customHeight="false" outlineLevel="0" collapsed="false">
      <c r="A17" s="14" t="s">
        <v>519</v>
      </c>
      <c r="B17" s="14" t="s">
        <v>520</v>
      </c>
      <c r="C17" s="46" t="s">
        <v>521</v>
      </c>
      <c r="D17" s="14" t="s">
        <v>522</v>
      </c>
      <c r="E17" s="14" t="s">
        <v>523</v>
      </c>
      <c r="F17" s="14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2026-10-18T14:53:21Z</dcterms:created>
  <dc:creator>openpyxl</dc:creator>
  <dc:description/>
  <dc:language>en-US</dc:language>
  <cp:lastModifiedBy/>
  <dcterms:modified xsi:type="dcterms:W3CDTF">2026-10-18T14:53:24Z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