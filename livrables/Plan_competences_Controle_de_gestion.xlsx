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_rels/drawing3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6.xml" ContentType="application/vnd.openxmlformats-officedocument.spreadsheetml.comments+xml"/>
  <Override PartName="/xl/comments2.xml" ContentType="application/vnd.openxmlformats-officedocument.spreadsheetml.comment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bord" sheetId="1" state="visible" r:id="rId3"/>
    <sheet name="Plan" sheetId="2" state="visible" r:id="rId4"/>
    <sheet name="Compétences" sheetId="3" state="visible" r:id="rId5"/>
    <sheet name="Exercice ABC" sheetId="4" state="visible" r:id="rId6"/>
    <sheet name="Exercice Bridge" sheetId="5" state="visible" r:id="rId7"/>
    <sheet name="Refacturation" sheetId="6" state="visible" r:id="rId8"/>
    <sheet name="Ressources" sheetId="7" state="visible" r:id="rId9"/>
  </sheets>
  <definedNames>
    <definedName function="false" hidden="true" localSheetId="1" name="_xlnm._FilterDatabase" vbProcedure="false">Plan!$A$4:$K$36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5" authorId="0">
      <text>
        <r>
          <rPr>
            <sz val="10"/>
            <rFont val="Arial"/>
            <family val="2"/>
          </rPr>
          <t xml:space="preserve">Format libre (texte ou date). Exemple de saisie.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9" authorId="0">
      <text>
        <r>
          <rPr>
            <sz val="10"/>
            <rFont val="Arial"/>
            <family val="2"/>
          </rPr>
          <t xml:space="preserve">Qualification simplifiée à but pédagogique. En pratique, une partie des frais de structure peut être attribuable s'ils sont directement liés à l'exécution des contrats (IFRS 17 §B65(l)) ; les frais non directement attribuables restent hors flux (§B66(d)).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5" authorId="0">
      <text>
        <r>
          <rPr>
            <sz val="10"/>
            <rFont val="Arial"/>
            <family val="2"/>
          </rPr>
          <t xml:space="preserve">Hypothèse : 5 %, taux de l'approche simplifiée OCDE pour les services intragroupe à faible valeur ajoutée (Principes OCDE, chap. VII). À valider avec la politique prix de transfert du groupe.</t>
        </r>
      </text>
    </comment>
  </commentList>
</comments>
</file>

<file path=xl/sharedStrings.xml><?xml version="1.0" encoding="utf-8"?>
<sst xmlns="http://schemas.openxmlformats.org/spreadsheetml/2006/main" count="529" uniqueCount="346">
  <si>
    <t xml:space="preserve">Tableau de bord – Montée en compétences Contrôle de gestion / Analyse des coûts</t>
  </si>
  <si>
    <t xml:space="preserve">Onglet 100 % calculé à partir des onglets Plan et Compétences. Ne rien saisir ici.</t>
  </si>
  <si>
    <t xml:space="preserve">Indicateurs globaux</t>
  </si>
  <si>
    <t xml:space="preserve">Heures prévues</t>
  </si>
  <si>
    <t xml:space="preserve">Heures réalisées</t>
  </si>
  <si>
    <t xml:space="preserve">Avancement global (heures)</t>
  </si>
  <si>
    <t xml:space="preserve">Tâches terminées</t>
  </si>
  <si>
    <t xml:space="preserve">Niveau moyen actuel (/5)</t>
  </si>
  <si>
    <t xml:space="preserve">Niveau moyen cible (/5)</t>
  </si>
  <si>
    <t xml:space="preserve">Compétences priorité haute</t>
  </si>
  <si>
    <t xml:space="preserve">Avancement par module</t>
  </si>
  <si>
    <t xml:space="preserve">Module</t>
  </si>
  <si>
    <t xml:space="preserve">Intitulé</t>
  </si>
  <si>
    <t xml:space="preserve">Semaines</t>
  </si>
  <si>
    <t xml:space="preserve">% avancement</t>
  </si>
  <si>
    <t xml:space="preserve">Tâches</t>
  </si>
  <si>
    <t xml:space="preserve">Terminées</t>
  </si>
  <si>
    <t xml:space="preserve">Statut</t>
  </si>
  <si>
    <t xml:space="preserve">M1</t>
  </si>
  <si>
    <t xml:space="preserve">Comptabilité analytique &amp; coûts</t>
  </si>
  <si>
    <t xml:space="preserve">M2</t>
  </si>
  <si>
    <t xml:space="preserve">Excel avancé &amp; Power Query</t>
  </si>
  <si>
    <t xml:space="preserve">M3</t>
  </si>
  <si>
    <t xml:space="preserve">Méthode ABC &amp; inducteurs</t>
  </si>
  <si>
    <t xml:space="preserve">M4</t>
  </si>
  <si>
    <t xml:space="preserve">SAP PCM &amp; outils de répartition</t>
  </si>
  <si>
    <t xml:space="preserve">M5</t>
  </si>
  <si>
    <t xml:space="preserve">Analyse des résultats &amp; bridges</t>
  </si>
  <si>
    <t xml:space="preserve">M6</t>
  </si>
  <si>
    <t xml:space="preserve">Refacturations inter-entités</t>
  </si>
  <si>
    <t xml:space="preserve">M7</t>
  </si>
  <si>
    <t xml:space="preserve">IFRS 17 &amp; frais attribuables</t>
  </si>
  <si>
    <t xml:space="preserve">M8</t>
  </si>
  <si>
    <t xml:space="preserve">Projet de déploiement d'outil</t>
  </si>
  <si>
    <t xml:space="preserve">M9</t>
  </si>
  <si>
    <t xml:space="preserve">Études de coûts &amp; restitution</t>
  </si>
  <si>
    <t xml:space="preserve">M10</t>
  </si>
  <si>
    <t xml:space="preserve">Projet de synthèse</t>
  </si>
  <si>
    <t xml:space="preserve">Légende : cellules jaunes à texte bleu = saisies · texte noir = formules · texte vert = liens vers un autre onglet.</t>
  </si>
  <si>
    <t xml:space="preserve">Plan de montée en compétences – 16 semaines (≈ 6 h / semaine)</t>
  </si>
  <si>
    <t xml:space="preserve">Saisir uniquement les cellules jaunes (texte bleu) : heures réalisées, statut, date de fin. La ligne 1 (semaine 1) est un exemple rempli.</t>
  </si>
  <si>
    <t xml:space="preserve">Semaine</t>
  </si>
  <si>
    <t xml:space="preserve">Intitulé module</t>
  </si>
  <si>
    <t xml:space="preserve">Tâche / objectif</t>
  </si>
  <si>
    <t xml:space="preserve">Ressource</t>
  </si>
  <si>
    <t xml:space="preserve">Livrable attendu</t>
  </si>
  <si>
    <t xml:space="preserve">Date de fin</t>
  </si>
  <si>
    <t xml:space="preserve">% réalisé</t>
  </si>
  <si>
    <t xml:space="preserve">Charges directes/indirectes, fixes/variables, coût complet vs coût partiel</t>
  </si>
  <si>
    <t xml:space="preserve">Alazard &amp; Sépari, DCG 11 (Dunod) – chapitres coûts</t>
  </si>
  <si>
    <t xml:space="preserve">Fiche de synthèse 1 page</t>
  </si>
  <si>
    <t xml:space="preserve">Terminé</t>
  </si>
  <si>
    <t xml:space="preserve">2026-10-25</t>
  </si>
  <si>
    <t xml:space="preserve">Méthode des centres d'analyse : répartition primaire et secondaire</t>
  </si>
  <si>
    <t xml:space="preserve">DCG 11 – exercices corrigés</t>
  </si>
  <si>
    <t xml:space="preserve">Tableau de répartition sous Excel</t>
  </si>
  <si>
    <t xml:space="preserve">À faire</t>
  </si>
  <si>
    <t xml:space="preserve">Coûts variables, marge sur coût variable, seuil de rentabilité</t>
  </si>
  <si>
    <t xml:space="preserve">DCG 11 – chapitre coûts partiels</t>
  </si>
  <si>
    <t xml:space="preserve">Mini-modèle Excel de seuil de rentabilité</t>
  </si>
  <si>
    <t xml:space="preserve">Frais par destination en assurance (acquisition, administration, sinistres, placements)</t>
  </si>
  <si>
    <t xml:space="preserve">Publications France Assureurs / ACPR</t>
  </si>
  <si>
    <t xml:space="preserve">Fiche : passage frais par nature → destination</t>
  </si>
  <si>
    <t xml:space="preserve">INDEX/EQUIV, SOMME.SI.ENS, SOMMEPROD, SIERREUR, RECHERCHEX</t>
  </si>
  <si>
    <t xml:space="preserve">Exceljet ; Coursera Excel Skills for Business</t>
  </si>
  <si>
    <t xml:space="preserve">Classeur d'exercices de formules</t>
  </si>
  <si>
    <t xml:space="preserve">Tableaux croisés dynamiques, segments, mise en forme conditionnelle</t>
  </si>
  <si>
    <t xml:space="preserve">Microsoft Support / Learn</t>
  </si>
  <si>
    <t xml:space="preserve">TCD des coûts par centre et par nature</t>
  </si>
  <si>
    <t xml:space="preserve">Power Query : import, nettoyage, fusion (balance analytique + volumes)</t>
  </si>
  <si>
    <t xml:space="preserve">Microsoft Learn – Power Query</t>
  </si>
  <si>
    <t xml:space="preserve">Requête rafraîchissable automatisée</t>
  </si>
  <si>
    <t xml:space="preserve">Modélisation propre : Hypothèses / Calculs / Restitution + contrôles</t>
  </si>
  <si>
    <t xml:space="preserve">Ce classeur (structure des onglets)</t>
  </si>
  <si>
    <t xml:space="preserve">Modèle avec onglet de contrôles</t>
  </si>
  <si>
    <t xml:space="preserve">Théorie ABC : ressources → activités → objets de coût</t>
  </si>
  <si>
    <t xml:space="preserve">Alazard &amp; Sépari ; Kaplan &amp; Cooper</t>
  </si>
  <si>
    <t xml:space="preserve">Schéma de la chaîne de coûts</t>
  </si>
  <si>
    <t xml:space="preserve">Réaliser l'onglet « Exercice ABC », puis modifier les clés et analyser l'impact</t>
  </si>
  <si>
    <t xml:space="preserve">Onglet Exercice ABC</t>
  </si>
  <si>
    <t xml:space="preserve">Note de 10 lignes sur la sensibilité</t>
  </si>
  <si>
    <t xml:space="preserve">Time-Driven ABC : capacité pratique, équations de temps</t>
  </si>
  <si>
    <t xml:space="preserve">Kaplan &amp; Anderson, Time-Driven ABC (HBS Press)</t>
  </si>
  <si>
    <t xml:space="preserve">Exemple TDABC sur l'activité Prestations</t>
  </si>
  <si>
    <t xml:space="preserve">Choisir et documenter un inducteur (pertinence, source, fréquence)</t>
  </si>
  <si>
    <t xml:space="preserve">Guide Word – module 3</t>
  </si>
  <si>
    <t xml:space="preserve">Fiche inducteur type (x3)</t>
  </si>
  <si>
    <t xml:space="preserve">Logique SAP PCM : modèle, période, version, lignes, activités, assignations</t>
  </si>
  <si>
    <t xml:space="preserve">SAP Help Portal ; SAP Learning (PaPM)</t>
  </si>
  <si>
    <t xml:space="preserve">Cartographie d'un modèle de répartition</t>
  </si>
  <si>
    <t xml:space="preserve">Cycle de calcul : import GL et volumes, calcul, contrôles, export</t>
  </si>
  <si>
    <t xml:space="preserve">Documentation interne + SAP Help</t>
  </si>
  <si>
    <t xml:space="preserve">Check-list de clôture de l'outil</t>
  </si>
  <si>
    <t xml:space="preserve">Successeurs et alternatives : SAP PaPM, Anaplan, Board, Tagetik</t>
  </si>
  <si>
    <t xml:space="preserve">SAP Learning ; sites éditeurs</t>
  </si>
  <si>
    <t xml:space="preserve">Tableau comparatif des outils</t>
  </si>
  <si>
    <t xml:space="preserve">Réconciliation outil ↔ comptabilité générale (bouclage)</t>
  </si>
  <si>
    <t xml:space="preserve">Guide Word – module 4</t>
  </si>
  <si>
    <t xml:space="preserve">Tableau de bouclage avec écarts expliqués</t>
  </si>
  <si>
    <t xml:space="preserve">Écarts : volume, prix/coût unitaire, mix, périmètre, non récurrent</t>
  </si>
  <si>
    <t xml:space="preserve">DCG 11 – analyse des écarts</t>
  </si>
  <si>
    <t xml:space="preserve">Fiche formules d'écarts</t>
  </si>
  <si>
    <t xml:space="preserve">Réaliser l'onglet « Exercice Bridge » et commenter chaque effet</t>
  </si>
  <si>
    <t xml:space="preserve">Onglet Exercice Bridge</t>
  </si>
  <si>
    <t xml:space="preserve">Commentaire d'une phrase par effet</t>
  </si>
  <si>
    <t xml:space="preserve">Graphique en cascade (waterfall) dans Excel et Power BI</t>
  </si>
  <si>
    <t xml:space="preserve">Microsoft Support</t>
  </si>
  <si>
    <t xml:space="preserve">Graphique cascade présentable</t>
  </si>
  <si>
    <t xml:space="preserve">Rédiger un commentaire de gestion trimestriel</t>
  </si>
  <si>
    <t xml:space="preserve">Guide Word – module 5</t>
  </si>
  <si>
    <t xml:space="preserve">Note trimestrielle 1 page</t>
  </si>
  <si>
    <t xml:space="preserve">Principes : coût complet, clés, marge, convention de services</t>
  </si>
  <si>
    <t xml:space="preserve">Principes OCDE prix de transfert – chap. VII</t>
  </si>
  <si>
    <t xml:space="preserve">Fiche synthèse refacturation</t>
  </si>
  <si>
    <t xml:space="preserve">Réaliser l'onglet « Refacturation » + rapprochement intragroupe</t>
  </si>
  <si>
    <t xml:space="preserve">Onglet Refacturation</t>
  </si>
  <si>
    <t xml:space="preserve">Tableau de refacturation et contrôle</t>
  </si>
  <si>
    <t xml:space="preserve">Fondamentaux IFRS 17 : BBA, VFA, PAA, CSM, frontière des contrats</t>
  </si>
  <si>
    <t xml:space="preserve">IFRS Foundation – IFRS 17 (ifrs.org)</t>
  </si>
  <si>
    <t xml:space="preserve">Fiche glossaire IFRS 17</t>
  </si>
  <si>
    <t xml:space="preserve">Frais attribuables vs non attribuables (IFRS 17 §B65–B66)</t>
  </si>
  <si>
    <t xml:space="preserve">Norme IFRS 17 – Annexe B</t>
  </si>
  <si>
    <t xml:space="preserve">Grille de qualification des frais</t>
  </si>
  <si>
    <t xml:space="preserve">Adapter un modèle de répartition : flag attribuable, maille portefeuille</t>
  </si>
  <si>
    <t xml:space="preserve">Onglet Exercice ABC (ligne IFRS 17)</t>
  </si>
  <si>
    <t xml:space="preserve">Spécification d'évolution du modèle</t>
  </si>
  <si>
    <t xml:space="preserve">Frais d'acquisition (IACF) : définition et allocation aux groupes de contrats</t>
  </si>
  <si>
    <t xml:space="preserve">IFRS 17 §28A–28F, B35A–B35D</t>
  </si>
  <si>
    <t xml:space="preserve">Schéma d'allocation des IACF</t>
  </si>
  <si>
    <t xml:space="preserve">Projet : expression de besoins, spécifications, recette, double run</t>
  </si>
  <si>
    <t xml:space="preserve">Guide Word – module 8</t>
  </si>
  <si>
    <t xml:space="preserve">Plan de recette avec 10 cas de tests</t>
  </si>
  <si>
    <t xml:space="preserve">Conduite du changement : documentation, formation, procédures</t>
  </si>
  <si>
    <t xml:space="preserve">Mode opératoire utilisateur</t>
  </si>
  <si>
    <t xml:space="preserve">Power BI : modèle de données, mesures DAX simples, rapport de coûts</t>
  </si>
  <si>
    <t xml:space="preserve">Microsoft Learn – parcours PL-300</t>
  </si>
  <si>
    <t xml:space="preserve">Tableau de bord coûts Power BI</t>
  </si>
  <si>
    <t xml:space="preserve">Structurer une étude de coûts (contexte, analyse, recommandation)</t>
  </si>
  <si>
    <t xml:space="preserve">C. Nussbaumer Knaflic, Storytelling with Data</t>
  </si>
  <si>
    <t xml:space="preserve">Plan type d'une étude</t>
  </si>
  <si>
    <t xml:space="preserve">Projet de synthèse : modèle de répartition + bridge + note de restitution</t>
  </si>
  <si>
    <t xml:space="preserve">Tous les onglets</t>
  </si>
  <si>
    <t xml:space="preserve">Dossier complet (Excel + note)</t>
  </si>
  <si>
    <t xml:space="preserve">Auto-évaluation finale (onglet Compétences) et mise à jour CV / LinkedIn</t>
  </si>
  <si>
    <t xml:space="preserve">Onglet Compétences</t>
  </si>
  <si>
    <t xml:space="preserve">Profil mis à jour</t>
  </si>
  <si>
    <t xml:space="preserve">TOTAL</t>
  </si>
  <si>
    <t xml:space="preserve">Matrice de compétences – auto-évaluation</t>
  </si>
  <si>
    <t xml:space="preserve">Échelle 1 à 5 : 1 = notions · 2 = débutant · 3 = autonome · 4 = maîtrise · 5 = expert (peut former). Ajuster les niveaux actuels (cellules jaunes) — valeurs pré-remplies à titre indicatif.</t>
  </si>
  <si>
    <t xml:space="preserve">Compétence</t>
  </si>
  <si>
    <t xml:space="preserve">Origine dans le profil</t>
  </si>
  <si>
    <t xml:space="preserve">Niveau actuel (1-5)</t>
  </si>
  <si>
    <t xml:space="preserve">Niveau cible</t>
  </si>
  <si>
    <t xml:space="preserve">Écart</t>
  </si>
  <si>
    <t xml:space="preserve">Priorité</t>
  </si>
  <si>
    <t xml:space="preserve">Preuve / livrable de validation</t>
  </si>
  <si>
    <t xml:space="preserve">Comptabilité analytique (coût complet, centres d'analyse)</t>
  </si>
  <si>
    <t xml:space="preserve">Compétence listée</t>
  </si>
  <si>
    <t xml:space="preserve">Tableau de répartition commenté</t>
  </si>
  <si>
    <t xml:space="preserve">Contrôle de gestion opérationnel</t>
  </si>
  <si>
    <t xml:space="preserve">Expérience STEF</t>
  </si>
  <si>
    <t xml:space="preserve">Suivi de KPI d'un centre de coûts</t>
  </si>
  <si>
    <t xml:space="preserve">Microsoft Excel avancé</t>
  </si>
  <si>
    <t xml:space="preserve">Modèle structuré avec contrôles</t>
  </si>
  <si>
    <t xml:space="preserve">Power Query / automatisation</t>
  </si>
  <si>
    <t xml:space="preserve">Implicite (traitement de données)</t>
  </si>
  <si>
    <t xml:space="preserve">Requête rafraîchissable</t>
  </si>
  <si>
    <t xml:space="preserve">Méthode ABC – inducteurs de ressources et d'activités</t>
  </si>
  <si>
    <t xml:space="preserve">Missions GGVIE</t>
  </si>
  <si>
    <t xml:space="preserve">Exercice ABC + note de sensibilité</t>
  </si>
  <si>
    <t xml:space="preserve">SAP PCM (répartition des frais généraux)</t>
  </si>
  <si>
    <t xml:space="preserve">Cartographie d'un modèle PCM</t>
  </si>
  <si>
    <t xml:space="preserve">Réconciliation outil ↔ comptabilité</t>
  </si>
  <si>
    <t xml:space="preserve">Tableau de bouclage</t>
  </si>
  <si>
    <t xml:space="preserve">Analyse des écarts &amp; bridges trimestriels</t>
  </si>
  <si>
    <t xml:space="preserve">Bridge + commentaire de gestion</t>
  </si>
  <si>
    <t xml:space="preserve">Tableau de refacturation</t>
  </si>
  <si>
    <t xml:space="preserve">IFRS 17 – frais attribuables / IACF</t>
  </si>
  <si>
    <t xml:space="preserve">Gestion de projet outil (recette, double run)</t>
  </si>
  <si>
    <t xml:space="preserve">Plan de recette</t>
  </si>
  <si>
    <t xml:space="preserve">Études de coûts &amp; restitution (Power BI, storytelling)</t>
  </si>
  <si>
    <t xml:space="preserve">Étude de coûts restituée</t>
  </si>
  <si>
    <t xml:space="preserve">Communication écrite (commentaire de gestion)</t>
  </si>
  <si>
    <t xml:space="preserve">Note trimestrielle</t>
  </si>
  <si>
    <t xml:space="preserve">Moyenne</t>
  </si>
  <si>
    <t xml:space="preserve">Exercice – Répartition des frais généraux par la méthode ABC (cas assurance vie, données fictives)</t>
  </si>
  <si>
    <t xml:space="preserve">Modifier les montants, clés et volumes (cellules jaunes) : tout le modèle se recalcule. Objectif : reproduire la logique d'un modèle SAP PCM.</t>
  </si>
  <si>
    <t xml:space="preserve">1. Ressources – frais généraux par nature (k€)</t>
  </si>
  <si>
    <t xml:space="preserve">Montant (k€)</t>
  </si>
  <si>
    <t xml:space="preserve">Salaires et charges</t>
  </si>
  <si>
    <t xml:space="preserve">Loyers et immobilier</t>
  </si>
  <si>
    <t xml:space="preserve">Informatique</t>
  </si>
  <si>
    <t xml:space="preserve">Prestations externes</t>
  </si>
  <si>
    <t xml:space="preserve">Total ressources</t>
  </si>
  <si>
    <t xml:space="preserve">2. Inducteurs de ressources – % de chaque ressource consommé par activité</t>
  </si>
  <si>
    <t xml:space="preserve">Acquisition</t>
  </si>
  <si>
    <t xml:space="preserve">Gestion des contrats</t>
  </si>
  <si>
    <t xml:space="preserve">Prestations / sinistres</t>
  </si>
  <si>
    <t xml:space="preserve">Gestion des placements</t>
  </si>
  <si>
    <t xml:space="preserve">Fonctions support</t>
  </si>
  <si>
    <t xml:space="preserve">Contrôle (=100 %)</t>
  </si>
  <si>
    <t xml:space="preserve">Coût de l'activité (k€)</t>
  </si>
  <si>
    <t xml:space="preserve">Attribuable IFRS 17 ? (Oui/Non)</t>
  </si>
  <si>
    <t xml:space="preserve">Oui</t>
  </si>
  <si>
    <t xml:space="preserve">Non</t>
  </si>
  <si>
    <t xml:space="preserve">3. Inducteurs d'activité – volumes par produit</t>
  </si>
  <si>
    <t xml:space="preserve">Activité</t>
  </si>
  <si>
    <t xml:space="preserve">Inducteur</t>
  </si>
  <si>
    <t xml:space="preserve">Épargne</t>
  </si>
  <si>
    <t xml:space="preserve">Prévoyance</t>
  </si>
  <si>
    <t xml:space="preserve">Retraite</t>
  </si>
  <si>
    <t xml:space="preserve">Total volume</t>
  </si>
  <si>
    <t xml:space="preserve">Coût unitaire (k€)</t>
  </si>
  <si>
    <t xml:space="preserve">Nb de nouveaux contrats</t>
  </si>
  <si>
    <t xml:space="preserve">Nb de contrats en portefeuille</t>
  </si>
  <si>
    <t xml:space="preserve">Nb de dossiers de prestations</t>
  </si>
  <si>
    <t xml:space="preserve">Encours gérés (M€)</t>
  </si>
  <si>
    <t xml:space="preserve">4. Coûts affectés aux produits (k€)</t>
  </si>
  <si>
    <t xml:space="preserve">Attribuable IFRS 17</t>
  </si>
  <si>
    <t xml:space="preserve">Total</t>
  </si>
  <si>
    <t xml:space="preserve">Total coûts affectés</t>
  </si>
  <si>
    <t xml:space="preserve">dont attribuables IFRS 17</t>
  </si>
  <si>
    <t xml:space="preserve">dont non attribuables</t>
  </si>
  <si>
    <t xml:space="preserve">% attribuable</t>
  </si>
  <si>
    <t xml:space="preserve">Contrôle : total affecté – total ressources (doit être « - »)</t>
  </si>
  <si>
    <t xml:space="preserve">Questions : (1) Quel produit porte le plus de frais par contrat ? (2) Que se passe-t-il si l'informatique passe à 45 % sur la gestion des contrats ? (3) Quel est l'impact sur la part attribuable si les placements sont jugés non attribuables ?</t>
  </si>
  <si>
    <t xml:space="preserve">Exercice – Bridge des coûts N-1 → N (direction de gestion, données fictives)</t>
  </si>
  <si>
    <t xml:space="preserve">Saisir les inputs N-1 et N (cellules jaunes) puis commenter chaque effet. Le graphique en cascade se met à jour.</t>
  </si>
  <si>
    <t xml:space="preserve">Indicateur</t>
  </si>
  <si>
    <t xml:space="preserve">N-1</t>
  </si>
  <si>
    <t xml:space="preserve">N</t>
  </si>
  <si>
    <t xml:space="preserve">Variation</t>
  </si>
  <si>
    <t xml:space="preserve">ETP moyens</t>
  </si>
  <si>
    <t xml:space="preserve">Coût moyen par ETP (k€)</t>
  </si>
  <si>
    <t xml:space="preserve">Coûts informatiques (k€)</t>
  </si>
  <si>
    <t xml:space="preserve">Autres frais (k€)</t>
  </si>
  <si>
    <t xml:space="preserve">Éléments non récurrents (k€)</t>
  </si>
  <si>
    <t xml:space="preserve">Total coûts (k€)</t>
  </si>
  <si>
    <t xml:space="preserve">Étape du bridge</t>
  </si>
  <si>
    <t xml:space="preserve">Commentaire (à rédiger)</t>
  </si>
  <si>
    <t xml:space="preserve">Cumul</t>
  </si>
  <si>
    <t xml:space="preserve">Base (masquée)</t>
  </si>
  <si>
    <t xml:space="preserve">Hausse</t>
  </si>
  <si>
    <t xml:space="preserve">Baisse</t>
  </si>
  <si>
    <t xml:space="preserve">Coûts N-1</t>
  </si>
  <si>
    <t xml:space="preserve">Effet volume ETP</t>
  </si>
  <si>
    <t xml:space="preserve">Ex. : +6 ETP (renfort projet IFRS 17) valorisés au coût moyen N-1</t>
  </si>
  <si>
    <t xml:space="preserve">Effet coût moyen</t>
  </si>
  <si>
    <t xml:space="preserve">Effet informatique</t>
  </si>
  <si>
    <t xml:space="preserve">Effet autres frais</t>
  </si>
  <si>
    <t xml:space="preserve">Effet non récurrent</t>
  </si>
  <si>
    <t xml:space="preserve">Coûts N</t>
  </si>
  <si>
    <t xml:space="preserve">Contrôle : Coûts N du bridge – Total N (doit être « - »)</t>
  </si>
  <si>
    <t xml:space="preserve">Méthode : effet volume = ΔETP × coût moyen N-1 ; effet coût moyen = Δcoût moyen × ETP N. La somme des effets explique exactement la variation totale.</t>
  </si>
  <si>
    <t xml:space="preserve">Exercice – Refacturation des services partagés aux entités du groupe (données fictives)</t>
  </si>
  <si>
    <t xml:space="preserve">L'entité support refacture ses coûts complets majorés d'une marge, selon des clés de répartition. Cellules jaunes modifiables.</t>
  </si>
  <si>
    <t xml:space="preserve">Service</t>
  </si>
  <si>
    <t xml:space="preserve">Coût complet (k€)</t>
  </si>
  <si>
    <t xml:space="preserve">Clé de répartition</t>
  </si>
  <si>
    <t xml:space="preserve">Marge</t>
  </si>
  <si>
    <t xml:space="preserve">Nb de postes de travail</t>
  </si>
  <si>
    <t xml:space="preserve">RH / Paie</t>
  </si>
  <si>
    <t xml:space="preserve">Effectif</t>
  </si>
  <si>
    <t xml:space="preserve">Comptabilité</t>
  </si>
  <si>
    <t xml:space="preserve">Nb d'écritures</t>
  </si>
  <si>
    <t xml:space="preserve">Juridique</t>
  </si>
  <si>
    <t xml:space="preserve">Temps passé (heures)</t>
  </si>
  <si>
    <t xml:space="preserve">Volumes de clé par entité</t>
  </si>
  <si>
    <t xml:space="preserve">Entité Vie</t>
  </si>
  <si>
    <t xml:space="preserve">Entité Prévoyance</t>
  </si>
  <si>
    <t xml:space="preserve">Entité Courtage</t>
  </si>
  <si>
    <t xml:space="preserve">Total clé</t>
  </si>
  <si>
    <t xml:space="preserve">Refacturation (k€)</t>
  </si>
  <si>
    <t xml:space="preserve">Total refacturé</t>
  </si>
  <si>
    <t xml:space="preserve">dont marge</t>
  </si>
  <si>
    <t xml:space="preserve">Contrôle : total refacturé – coûts × (1 + marge)</t>
  </si>
  <si>
    <t xml:space="preserve">À retenir : (1) une convention de services formalise clés et marge ; (2) chaque refacturation donne lieu à une facture et une écriture réciproque chez l'entité bénéficiaire ; (3) le rapprochement intragroupe doit être nul à la clôture.</t>
  </si>
  <si>
    <t xml:space="preserve">Ressources recommandées</t>
  </si>
  <si>
    <t xml:space="preserve">Vérifier les éditions les plus récentes avant achat.</t>
  </si>
  <si>
    <t xml:space="preserve">Type</t>
  </si>
  <si>
    <t xml:space="preserve">Auteur / éditeur</t>
  </si>
  <si>
    <t xml:space="preserve">Accès</t>
  </si>
  <si>
    <t xml:space="preserve">Usage conseillé</t>
  </si>
  <si>
    <t xml:space="preserve">M1-M5</t>
  </si>
  <si>
    <t xml:space="preserve">Livre</t>
  </si>
  <si>
    <t xml:space="preserve">DCG 11 – Contrôle de gestion, Manuel et applications</t>
  </si>
  <si>
    <t xml:space="preserve">C. Alazard &amp; S. Sépari – Dunod</t>
  </si>
  <si>
    <t xml:space="preserve">Payant</t>
  </si>
  <si>
    <t xml:space="preserve">Base théorique + exercices corrigés (coûts, ABC, écarts)</t>
  </si>
  <si>
    <t xml:space="preserve">DSCG 3 – Management et contrôle de gestion</t>
  </si>
  <si>
    <t xml:space="preserve">Dunod (plusieurs auteurs)</t>
  </si>
  <si>
    <t xml:space="preserve">Niveau avancé : pilotage, ABC/ABM</t>
  </si>
  <si>
    <t xml:space="preserve">Le contrôle de gestion</t>
  </si>
  <si>
    <t xml:space="preserve">Henri Bouquin – PUF</t>
  </si>
  <si>
    <t xml:space="preserve">Vision d'ensemble du métier</t>
  </si>
  <si>
    <t xml:space="preserve">Time-Driven Activity-Based Costing</t>
  </si>
  <si>
    <t xml:space="preserve">R. S. Kaplan &amp; S. R. Anderson – Harvard Business School Press</t>
  </si>
  <si>
    <t xml:space="preserve">Simplifier un modèle ABC par les temps</t>
  </si>
  <si>
    <t xml:space="preserve">Cours en ligne</t>
  </si>
  <si>
    <t xml:space="preserve">Excel Skills for Business (spécialisation)</t>
  </si>
  <si>
    <t xml:space="preserve">Macquarie University – coursera.org</t>
  </si>
  <si>
    <t xml:space="preserve">Audit gratuit / certificat payant</t>
  </si>
  <si>
    <t xml:space="preserve">Excel du niveau essentiel à avancé</t>
  </si>
  <si>
    <t xml:space="preserve">Site</t>
  </si>
  <si>
    <t xml:space="preserve">Exceljet – formules et fonctions</t>
  </si>
  <si>
    <t xml:space="preserve">exceljet.net</t>
  </si>
  <si>
    <t xml:space="preserve">Gratuit</t>
  </si>
  <si>
    <t xml:space="preserve">Référence rapide de formules</t>
  </si>
  <si>
    <t xml:space="preserve">M2, M9</t>
  </si>
  <si>
    <t xml:space="preserve">Parcours</t>
  </si>
  <si>
    <t xml:space="preserve">Power Query &amp; Power BI Data Analyst (PL-300)</t>
  </si>
  <si>
    <t xml:space="preserve">Microsoft Learn – learn.microsoft.com</t>
  </si>
  <si>
    <t xml:space="preserve">Gratuit (certification payante)</t>
  </si>
  <si>
    <t xml:space="preserve">Automatisation et restitution</t>
  </si>
  <si>
    <t xml:space="preserve">Documentation</t>
  </si>
  <si>
    <t xml:space="preserve">SAP Profitability and Performance Management (PaPM)</t>
  </si>
  <si>
    <t xml:space="preserve">SAP Learning – learning.sap.com ; SAP Help Portal</t>
  </si>
  <si>
    <t xml:space="preserve">Gratuit (partiel)</t>
  </si>
  <si>
    <t xml:space="preserve">Successeur de SAP PCM : logique de modélisation</t>
  </si>
  <si>
    <t xml:space="preserve">Norme</t>
  </si>
  <si>
    <t xml:space="preserve">IFRS 17 Insurance Contracts + documents d'accompagnement</t>
  </si>
  <si>
    <t xml:space="preserve">IFRS Foundation – ifrs.org</t>
  </si>
  <si>
    <t xml:space="preserve">Gratuit (inscription)</t>
  </si>
  <si>
    <t xml:space="preserve">§B65–B66 (flux attribuables), §28A–28F (IACF)</t>
  </si>
  <si>
    <t xml:space="preserve">Publications</t>
  </si>
  <si>
    <t xml:space="preserve">Guides IFRS 17 des cabinets d'audit</t>
  </si>
  <si>
    <t xml:space="preserve">Big Four (sites publics)</t>
  </si>
  <si>
    <t xml:space="preserve">Exemples chiffrés et retours d'expérience</t>
  </si>
  <si>
    <t xml:space="preserve">M1, M7</t>
  </si>
  <si>
    <t xml:space="preserve">Publications du secteur assurance</t>
  </si>
  <si>
    <t xml:space="preserve">France Assureurs ; ACPR</t>
  </si>
  <si>
    <t xml:space="preserve">Contexte réglementaire et données de marché</t>
  </si>
  <si>
    <t xml:space="preserve">Référentiel</t>
  </si>
  <si>
    <t xml:space="preserve">Principes de l'OCDE applicables en matière de prix de transfert – chap. VII</t>
  </si>
  <si>
    <t xml:space="preserve">OCDE – oecd.org</t>
  </si>
  <si>
    <t xml:space="preserve">Gratuit (lecture en ligne)</t>
  </si>
  <si>
    <t xml:space="preserve">Services intragroupe, marge, faible valeur ajoutée</t>
  </si>
  <si>
    <t xml:space="preserve">Storytelling with Data</t>
  </si>
  <si>
    <t xml:space="preserve">Cole Nussbaumer Knaflic – Wiley</t>
  </si>
  <si>
    <t xml:space="preserve">Restituer une analyse clairement</t>
  </si>
  <si>
    <t xml:space="preserve">Tous</t>
  </si>
  <si>
    <t xml:space="preserve">Réseau</t>
  </si>
  <si>
    <t xml:space="preserve">DFCG – Association des directeurs financiers et contrôleurs de gestion</t>
  </si>
  <si>
    <t xml:space="preserve">dfcg.fr</t>
  </si>
  <si>
    <t xml:space="preserve">Adhésion</t>
  </si>
  <si>
    <t xml:space="preserve">Veille, conférences, réseau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</si>
</sst>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"/>
    <numFmt numFmtId="166" formatCode="0.0%;\(0.0%\);\-"/>
    <numFmt numFmtId="167" formatCode="0"/>
    <numFmt numFmtId="168" formatCode="0%"/>
    <numFmt numFmtId="169" formatCode="#,##0;\(#,##0\);\-"/>
    <numFmt numFmtId="170" formatCode="0.0000"/>
    <numFmt numFmtId="171" formatCode="#,##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FF"/>
      <name val="Arial"/>
      <family val="0"/>
      <charset val="1"/>
    </font>
    <font>
      <sz val="10"/>
      <name val="Arial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EB9C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% d'avancement par module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'Tableau de bord'!F14</c:f>
              <c:strCache>
                <c:ptCount val="1"/>
                <c:pt idx="0">
                  <c:v>% avancement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'Tableau de bord'!$B$15:$B$24</c:f>
              <c:strCache>
                <c:ptCount val="10"/>
                <c:pt idx="0">
                  <c:v>Comptabilité analytique &amp; coûts</c:v>
                </c:pt>
                <c:pt idx="1">
                  <c:v>Excel avancé &amp; Power Query</c:v>
                </c:pt>
                <c:pt idx="2">
                  <c:v>Méthode ABC &amp; inducteurs</c:v>
                </c:pt>
                <c:pt idx="3">
                  <c:v>SAP PCM &amp; outils de répartition</c:v>
                </c:pt>
                <c:pt idx="4">
                  <c:v>Analyse des résultats &amp; bridges</c:v>
                </c:pt>
                <c:pt idx="5">
                  <c:v>Refacturations inter-entités</c:v>
                </c:pt>
                <c:pt idx="6">
                  <c:v>IFRS 17 &amp; frais attribuables</c:v>
                </c:pt>
                <c:pt idx="7">
                  <c:v>Projet de déploiement d'outil</c:v>
                </c:pt>
                <c:pt idx="8">
                  <c:v>Études de coûts &amp; restitution</c:v>
                </c:pt>
                <c:pt idx="9">
                  <c:v>Projet de synthèse</c:v>
                </c:pt>
              </c:strCache>
            </c:strRef>
          </c:cat>
          <c:val>
            <c:numRef>
              <c:f>'Tableau de bord'!$F$15:$F$24</c:f>
              <c:numCache>
                <c:formatCode>0.0%;\(0.0%\);\-</c:formatCode>
                <c:ptCount val="10"/>
                <c:pt idx="0">
                  <c:v>0.25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gapWidth val="150"/>
        <c:overlap val="0"/>
        <c:axId val="89891571"/>
        <c:axId val="81669636"/>
      </c:barChart>
      <c:catAx>
        <c:axId val="8989157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669636"/>
        <c:crosses val="autoZero"/>
        <c:auto val="1"/>
        <c:lblAlgn val="ctr"/>
        <c:lblOffset val="100"/>
        <c:noMultiLvlLbl val="0"/>
      </c:catAx>
      <c:valAx>
        <c:axId val="81669636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89157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Bridge des coûts N-1 → N (k€)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'Exercice Bridge'!E12</c:f>
              <c:strCache>
                <c:ptCount val="1"/>
                <c:pt idx="0">
                  <c:v>Base (masquée)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'Exercice Bridge'!$A$13:$A$19</c:f>
              <c:strCache>
                <c:ptCount val="7"/>
                <c:pt idx="0">
                  <c:v>Coûts N-1</c:v>
                </c:pt>
                <c:pt idx="1">
                  <c:v>Effet volume ETP</c:v>
                </c:pt>
                <c:pt idx="2">
                  <c:v>Effet coût moyen</c:v>
                </c:pt>
                <c:pt idx="3">
                  <c:v>Effet informatique</c:v>
                </c:pt>
                <c:pt idx="4">
                  <c:v>Effet autres frais</c:v>
                </c:pt>
                <c:pt idx="5">
                  <c:v>Effet non récurrent</c:v>
                </c:pt>
                <c:pt idx="6">
                  <c:v>Coûts N</c:v>
                </c:pt>
              </c:strCache>
            </c:strRef>
          </c:cat>
          <c:val>
            <c:numRef>
              <c:f>'Exercice Bridge'!$E$13:$E$19</c:f>
              <c:numCache>
                <c:formatCode>#,##0;\(#,##0\);\-</c:formatCode>
                <c:ptCount val="7"/>
                <c:pt idx="0">
                  <c:v>0</c:v>
                </c:pt>
                <c:pt idx="1">
                  <c:v>13460</c:v>
                </c:pt>
                <c:pt idx="2">
                  <c:v>13868</c:v>
                </c:pt>
                <c:pt idx="3">
                  <c:v>14120</c:v>
                </c:pt>
                <c:pt idx="4">
                  <c:v>14390</c:v>
                </c:pt>
                <c:pt idx="5">
                  <c:v>14390</c:v>
                </c:pt>
                <c:pt idx="6">
                  <c:v>0</c:v>
                </c:pt>
              </c:numCache>
            </c:numRef>
          </c:val>
        </c:ser>
        <c:ser>
          <c:idx val="1"/>
          <c:order val="1"/>
          <c:tx>
            <c:strRef>
              <c:f>'Exercice Bridge'!F12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'Exercice Bridge'!$A$13:$A$19</c:f>
              <c:strCache>
                <c:ptCount val="7"/>
                <c:pt idx="0">
                  <c:v>Coûts N-1</c:v>
                </c:pt>
                <c:pt idx="1">
                  <c:v>Effet volume ETP</c:v>
                </c:pt>
                <c:pt idx="2">
                  <c:v>Effet coût moyen</c:v>
                </c:pt>
                <c:pt idx="3">
                  <c:v>Effet informatique</c:v>
                </c:pt>
                <c:pt idx="4">
                  <c:v>Effet autres frais</c:v>
                </c:pt>
                <c:pt idx="5">
                  <c:v>Effet non récurrent</c:v>
                </c:pt>
                <c:pt idx="6">
                  <c:v>Coûts N</c:v>
                </c:pt>
              </c:strCache>
            </c:strRef>
          </c:cat>
          <c:val>
            <c:numRef>
              <c:f>'Exercice Bridge'!$F$13:$F$19</c:f>
              <c:numCache>
                <c:formatCode>#,##0;\(#,##0\);\-</c:formatCode>
                <c:ptCount val="7"/>
                <c:pt idx="0">
                  <c:v>13460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14640</c:v>
                </c:pt>
              </c:numCache>
            </c:numRef>
          </c:val>
        </c:ser>
        <c:ser>
          <c:idx val="2"/>
          <c:order val="2"/>
          <c:tx>
            <c:strRef>
              <c:f>'Exercice Bridge'!G12</c:f>
              <c:strCache>
                <c:ptCount val="1"/>
                <c:pt idx="0">
                  <c:v>Hausse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'Exercice Bridge'!$A$13:$A$19</c:f>
              <c:strCache>
                <c:ptCount val="7"/>
                <c:pt idx="0">
                  <c:v>Coûts N-1</c:v>
                </c:pt>
                <c:pt idx="1">
                  <c:v>Effet volume ETP</c:v>
                </c:pt>
                <c:pt idx="2">
                  <c:v>Effet coût moyen</c:v>
                </c:pt>
                <c:pt idx="3">
                  <c:v>Effet informatique</c:v>
                </c:pt>
                <c:pt idx="4">
                  <c:v>Effet autres frais</c:v>
                </c:pt>
                <c:pt idx="5">
                  <c:v>Effet non récurrent</c:v>
                </c:pt>
                <c:pt idx="6">
                  <c:v>Coûts N</c:v>
                </c:pt>
              </c:strCache>
            </c:strRef>
          </c:cat>
          <c:val>
            <c:numRef>
              <c:f>'Exercice Bridge'!$G$13:$G$19</c:f>
              <c:numCache>
                <c:formatCode>#,##0;\(#,##0\);\-</c:formatCode>
                <c:ptCount val="7"/>
                <c:pt idx="0">
                  <c:v>0</c:v>
                </c:pt>
                <c:pt idx="1">
                  <c:v>408</c:v>
                </c:pt>
                <c:pt idx="2">
                  <c:v>252</c:v>
                </c:pt>
                <c:pt idx="3">
                  <c:v>350</c:v>
                </c:pt>
                <c:pt idx="4">
                  <c:v>0</c:v>
                </c:pt>
                <c:pt idx="5">
                  <c:v>250</c:v>
                </c:pt>
                <c:pt idx="6">
                  <c:v>0</c:v>
                </c:pt>
              </c:numCache>
            </c:numRef>
          </c:val>
        </c:ser>
        <c:ser>
          <c:idx val="3"/>
          <c:order val="3"/>
          <c:tx>
            <c:strRef>
              <c:f>'Exercice Bridge'!H12</c:f>
              <c:strCache>
                <c:ptCount val="1"/>
                <c:pt idx="0">
                  <c:v>Baisse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'Exercice Bridge'!$A$13:$A$19</c:f>
              <c:strCache>
                <c:ptCount val="7"/>
                <c:pt idx="0">
                  <c:v>Coûts N-1</c:v>
                </c:pt>
                <c:pt idx="1">
                  <c:v>Effet volume ETP</c:v>
                </c:pt>
                <c:pt idx="2">
                  <c:v>Effet coût moyen</c:v>
                </c:pt>
                <c:pt idx="3">
                  <c:v>Effet informatique</c:v>
                </c:pt>
                <c:pt idx="4">
                  <c:v>Effet autres frais</c:v>
                </c:pt>
                <c:pt idx="5">
                  <c:v>Effet non récurrent</c:v>
                </c:pt>
                <c:pt idx="6">
                  <c:v>Coûts N</c:v>
                </c:pt>
              </c:strCache>
            </c:strRef>
          </c:cat>
          <c:val>
            <c:numRef>
              <c:f>'Exercice Bridge'!$H$13:$H$19</c:f>
              <c:numCache>
                <c:formatCode>#,##0;\(#,##0\);\-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gapWidth val="150"/>
        <c:overlap val="100"/>
        <c:axId val="16225619"/>
        <c:axId val="31703825"/>
      </c:barChart>
      <c:catAx>
        <c:axId val="162256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703825"/>
        <c:crosses val="autoZero"/>
        <c:auto val="1"/>
        <c:lblAlgn val="ctr"/>
        <c:lblOffset val="100"/>
        <c:noMultiLvlLbl val="0"/>
      </c:catAx>
      <c:valAx>
        <c:axId val="31703825"/>
        <c:scaling>
          <c:orientation val="minMax"/>
          <c:min val="1200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22561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27</xdr:row>
      <xdr:rowOff>18360</xdr:rowOff>
    </xdr:from>
    <xdr:to>
      <xdr:col>4</xdr:col>
      <xdr:colOff>276840</xdr:colOff>
      <xdr:row>44</xdr:row>
      <xdr:rowOff>19800</xdr:rowOff>
    </xdr:to>
    <xdr:graphicFrame>
      <xdr:nvGraphicFramePr>
        <xdr:cNvPr id="0" name="Chart 1"/>
        <xdr:cNvGraphicFramePr/>
      </xdr:nvGraphicFramePr>
      <xdr:xfrm>
        <a:off x="0" y="533412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22</xdr:row>
      <xdr:rowOff>18360</xdr:rowOff>
    </xdr:from>
    <xdr:to>
      <xdr:col>3</xdr:col>
      <xdr:colOff>433080</xdr:colOff>
      <xdr:row>39</xdr:row>
      <xdr:rowOff>19440</xdr:rowOff>
    </xdr:to>
    <xdr:graphicFrame>
      <xdr:nvGraphicFramePr>
        <xdr:cNvPr id="1" name="Chart 1"/>
        <xdr:cNvGraphicFramePr/>
      </xdr:nvGraphicFramePr>
      <xdr:xfrm>
        <a:off x="0" y="438156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9"/>
    <col collapsed="false" customWidth="true" hidden="false" outlineLevel="0" max="9" min="8" style="0" width="11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f aca="false">Plan!G37</f>
        <v>96</v>
      </c>
    </row>
    <row r="6" customFormat="false" ht="15" hidden="false" customHeight="false" outlineLevel="0" collapsed="false">
      <c r="A6" s="4" t="s">
        <v>4</v>
      </c>
      <c r="B6" s="5" t="n">
        <f aca="false">Plan!H37</f>
        <v>3</v>
      </c>
    </row>
    <row r="7" customFormat="false" ht="15" hidden="false" customHeight="false" outlineLevel="0" collapsed="false">
      <c r="A7" s="4" t="s">
        <v>5</v>
      </c>
      <c r="B7" s="6" t="n">
        <f aca="false">IFERROR(B6/B5,0)</f>
        <v>0.03125</v>
      </c>
    </row>
    <row r="8" customFormat="false" ht="15" hidden="false" customHeight="false" outlineLevel="0" collapsed="false">
      <c r="A8" s="4" t="s">
        <v>6</v>
      </c>
      <c r="B8" s="7" t="str">
        <f aca="false">COUNTIF(Plan!I5:I36,"Terminé")&amp;" / "&amp;COUNTA(Plan!D5:D36)</f>
        <v>1 / 32</v>
      </c>
    </row>
    <row r="9" customFormat="false" ht="15" hidden="false" customHeight="false" outlineLevel="0" collapsed="false">
      <c r="A9" s="4" t="s">
        <v>7</v>
      </c>
      <c r="B9" s="5" t="n">
        <f aca="false">Compétences!D18</f>
        <v>2</v>
      </c>
    </row>
    <row r="10" customFormat="false" ht="15" hidden="false" customHeight="false" outlineLevel="0" collapsed="false">
      <c r="A10" s="4" t="s">
        <v>8</v>
      </c>
      <c r="B10" s="5" t="n">
        <f aca="false">Compétences!E18</f>
        <v>4.38461538461539</v>
      </c>
    </row>
    <row r="11" customFormat="false" ht="15" hidden="false" customHeight="false" outlineLevel="0" collapsed="false">
      <c r="A11" s="4" t="s">
        <v>9</v>
      </c>
      <c r="B11" s="8" t="n">
        <f aca="false">COUNTIF(Compétences!G5:G17,"Haute")</f>
        <v>6</v>
      </c>
    </row>
    <row r="13" customFormat="false" ht="15" hidden="false" customHeight="false" outlineLevel="0" collapsed="false">
      <c r="A13" s="3" t="s">
        <v>10</v>
      </c>
    </row>
    <row r="14" customFormat="false" ht="23.85" hidden="false" customHeight="false" outlineLevel="0" collapsed="false">
      <c r="A14" s="9" t="s">
        <v>11</v>
      </c>
      <c r="B14" s="9" t="s">
        <v>12</v>
      </c>
      <c r="C14" s="9" t="s">
        <v>13</v>
      </c>
      <c r="D14" s="9" t="s">
        <v>3</v>
      </c>
      <c r="E14" s="9" t="s">
        <v>4</v>
      </c>
      <c r="F14" s="9" t="s">
        <v>14</v>
      </c>
      <c r="G14" s="9" t="s">
        <v>15</v>
      </c>
      <c r="H14" s="9" t="s">
        <v>16</v>
      </c>
      <c r="I14" s="9" t="s">
        <v>17</v>
      </c>
    </row>
    <row r="15" customFormat="false" ht="15" hidden="false" customHeight="false" outlineLevel="0" collapsed="false">
      <c r="A15" s="10" t="s">
        <v>18</v>
      </c>
      <c r="B15" s="11" t="s">
        <v>19</v>
      </c>
      <c r="C15" s="7" t="str">
        <f aca="false">IF(_xlfn.MINIFS(Plan!$A$5:$A$36,Plan!$B$5:$B$36,A15)=_xlfn.MAXIFS(Plan!$A$5:$A$36,Plan!$B$5:$B$36,A15),_xlfn.MINIFS(Plan!$A$5:$A$36,Plan!$B$5:$B$36,A15)&amp;"",_xlfn.MINIFS(Plan!$A$5:$A$36,Plan!$B$5:$B$36,A15)&amp;"–"&amp;_xlfn.MAXIFS(Plan!$A$5:$A$36,Plan!$B$5:$B$36,A15))</f>
        <v>1–2</v>
      </c>
      <c r="D15" s="5" t="n">
        <f aca="false">SUMIFS(Plan!$G$5:$G$36,Plan!$B$5:$B$36,A15)</f>
        <v>12</v>
      </c>
      <c r="E15" s="5" t="n">
        <f aca="false">SUMIFS(Plan!$H$5:$H$36,Plan!$B$5:$B$36,A15)</f>
        <v>3</v>
      </c>
      <c r="F15" s="12" t="n">
        <f aca="false">IFERROR(MIN(E15/D15,1),0)</f>
        <v>0.25</v>
      </c>
      <c r="G15" s="7" t="n">
        <f aca="false">COUNTIF(Plan!$B$5:$B$36,A15)</f>
        <v>4</v>
      </c>
      <c r="H15" s="7" t="n">
        <f aca="false">COUNTIFS(Plan!$B$5:$B$36,A15,Plan!$I$5:$I$36,"Terminé")</f>
        <v>1</v>
      </c>
      <c r="I15" s="13" t="str">
        <f aca="false">IF(H15=G15,"Terminé",IF(OR(E15&gt;0,H15&gt;0),"En cours","À faire"))</f>
        <v>En cours</v>
      </c>
    </row>
    <row r="16" customFormat="false" ht="15" hidden="false" customHeight="false" outlineLevel="0" collapsed="false">
      <c r="A16" s="10" t="s">
        <v>20</v>
      </c>
      <c r="B16" s="11" t="s">
        <v>21</v>
      </c>
      <c r="C16" s="7" t="str">
        <f aca="false">IF(_xlfn.MINIFS(Plan!$A$5:$A$36,Plan!$B$5:$B$36,A16)=_xlfn.MAXIFS(Plan!$A$5:$A$36,Plan!$B$5:$B$36,A16),_xlfn.MINIFS(Plan!$A$5:$A$36,Plan!$B$5:$B$36,A16)&amp;"",_xlfn.MINIFS(Plan!$A$5:$A$36,Plan!$B$5:$B$36,A16)&amp;"–"&amp;_xlfn.MAXIFS(Plan!$A$5:$A$36,Plan!$B$5:$B$36,A16))</f>
        <v>3–4</v>
      </c>
      <c r="D16" s="5" t="n">
        <f aca="false">SUMIFS(Plan!$G$5:$G$36,Plan!$B$5:$B$36,A16)</f>
        <v>12</v>
      </c>
      <c r="E16" s="5" t="n">
        <f aca="false">SUMIFS(Plan!$H$5:$H$36,Plan!$B$5:$B$36,A16)</f>
        <v>0</v>
      </c>
      <c r="F16" s="12" t="n">
        <f aca="false">IFERROR(MIN(E16/D16,1),0)</f>
        <v>0</v>
      </c>
      <c r="G16" s="7" t="n">
        <f aca="false">COUNTIF(Plan!$B$5:$B$36,A16)</f>
        <v>4</v>
      </c>
      <c r="H16" s="7" t="n">
        <f aca="false">COUNTIFS(Plan!$B$5:$B$36,A16,Plan!$I$5:$I$36,"Terminé")</f>
        <v>0</v>
      </c>
      <c r="I16" s="13" t="str">
        <f aca="false">IF(H16=G16,"Terminé",IF(OR(E16&gt;0,H16&gt;0),"En cours","À faire"))</f>
        <v>À faire</v>
      </c>
    </row>
    <row r="17" customFormat="false" ht="15" hidden="false" customHeight="false" outlineLevel="0" collapsed="false">
      <c r="A17" s="10" t="s">
        <v>22</v>
      </c>
      <c r="B17" s="11" t="s">
        <v>23</v>
      </c>
      <c r="C17" s="7" t="str">
        <f aca="false">IF(_xlfn.MINIFS(Plan!$A$5:$A$36,Plan!$B$5:$B$36,A17)=_xlfn.MAXIFS(Plan!$A$5:$A$36,Plan!$B$5:$B$36,A17),_xlfn.MINIFS(Plan!$A$5:$A$36,Plan!$B$5:$B$36,A17)&amp;"",_xlfn.MINIFS(Plan!$A$5:$A$36,Plan!$B$5:$B$36,A17)&amp;"–"&amp;_xlfn.MAXIFS(Plan!$A$5:$A$36,Plan!$B$5:$B$36,A17))</f>
        <v>5–6</v>
      </c>
      <c r="D17" s="5" t="n">
        <f aca="false">SUMIFS(Plan!$G$5:$G$36,Plan!$B$5:$B$36,A17)</f>
        <v>12</v>
      </c>
      <c r="E17" s="5" t="n">
        <f aca="false">SUMIFS(Plan!$H$5:$H$36,Plan!$B$5:$B$36,A17)</f>
        <v>0</v>
      </c>
      <c r="F17" s="12" t="n">
        <f aca="false">IFERROR(MIN(E17/D17,1),0)</f>
        <v>0</v>
      </c>
      <c r="G17" s="7" t="n">
        <f aca="false">COUNTIF(Plan!$B$5:$B$36,A17)</f>
        <v>4</v>
      </c>
      <c r="H17" s="7" t="n">
        <f aca="false">COUNTIFS(Plan!$B$5:$B$36,A17,Plan!$I$5:$I$36,"Terminé")</f>
        <v>0</v>
      </c>
      <c r="I17" s="13" t="str">
        <f aca="false">IF(H17=G17,"Terminé",IF(OR(E17&gt;0,H17&gt;0),"En cours","À faire"))</f>
        <v>À faire</v>
      </c>
    </row>
    <row r="18" customFormat="false" ht="15" hidden="false" customHeight="false" outlineLevel="0" collapsed="false">
      <c r="A18" s="10" t="s">
        <v>24</v>
      </c>
      <c r="B18" s="11" t="s">
        <v>25</v>
      </c>
      <c r="C18" s="7" t="str">
        <f aca="false">IF(_xlfn.MINIFS(Plan!$A$5:$A$36,Plan!$B$5:$B$36,A18)=_xlfn.MAXIFS(Plan!$A$5:$A$36,Plan!$B$5:$B$36,A18),_xlfn.MINIFS(Plan!$A$5:$A$36,Plan!$B$5:$B$36,A18)&amp;"",_xlfn.MINIFS(Plan!$A$5:$A$36,Plan!$B$5:$B$36,A18)&amp;"–"&amp;_xlfn.MAXIFS(Plan!$A$5:$A$36,Plan!$B$5:$B$36,A18))</f>
        <v>7–8</v>
      </c>
      <c r="D18" s="5" t="n">
        <f aca="false">SUMIFS(Plan!$G$5:$G$36,Plan!$B$5:$B$36,A18)</f>
        <v>12</v>
      </c>
      <c r="E18" s="5" t="n">
        <f aca="false">SUMIFS(Plan!$H$5:$H$36,Plan!$B$5:$B$36,A18)</f>
        <v>0</v>
      </c>
      <c r="F18" s="12" t="n">
        <f aca="false">IFERROR(MIN(E18/D18,1),0)</f>
        <v>0</v>
      </c>
      <c r="G18" s="7" t="n">
        <f aca="false">COUNTIF(Plan!$B$5:$B$36,A18)</f>
        <v>4</v>
      </c>
      <c r="H18" s="7" t="n">
        <f aca="false">COUNTIFS(Plan!$B$5:$B$36,A18,Plan!$I$5:$I$36,"Terminé")</f>
        <v>0</v>
      </c>
      <c r="I18" s="13" t="str">
        <f aca="false">IF(H18=G18,"Terminé",IF(OR(E18&gt;0,H18&gt;0),"En cours","À faire"))</f>
        <v>À faire</v>
      </c>
    </row>
    <row r="19" customFormat="false" ht="15" hidden="false" customHeight="false" outlineLevel="0" collapsed="false">
      <c r="A19" s="10" t="s">
        <v>26</v>
      </c>
      <c r="B19" s="11" t="s">
        <v>27</v>
      </c>
      <c r="C19" s="7" t="str">
        <f aca="false">IF(_xlfn.MINIFS(Plan!$A$5:$A$36,Plan!$B$5:$B$36,A19)=_xlfn.MAXIFS(Plan!$A$5:$A$36,Plan!$B$5:$B$36,A19),_xlfn.MINIFS(Plan!$A$5:$A$36,Plan!$B$5:$B$36,A19)&amp;"",_xlfn.MINIFS(Plan!$A$5:$A$36,Plan!$B$5:$B$36,A19)&amp;"–"&amp;_xlfn.MAXIFS(Plan!$A$5:$A$36,Plan!$B$5:$B$36,A19))</f>
        <v>9–10</v>
      </c>
      <c r="D19" s="5" t="n">
        <f aca="false">SUMIFS(Plan!$G$5:$G$36,Plan!$B$5:$B$36,A19)</f>
        <v>12</v>
      </c>
      <c r="E19" s="5" t="n">
        <f aca="false">SUMIFS(Plan!$H$5:$H$36,Plan!$B$5:$B$36,A19)</f>
        <v>0</v>
      </c>
      <c r="F19" s="12" t="n">
        <f aca="false">IFERROR(MIN(E19/D19,1),0)</f>
        <v>0</v>
      </c>
      <c r="G19" s="7" t="n">
        <f aca="false">COUNTIF(Plan!$B$5:$B$36,A19)</f>
        <v>4</v>
      </c>
      <c r="H19" s="7" t="n">
        <f aca="false">COUNTIFS(Plan!$B$5:$B$36,A19,Plan!$I$5:$I$36,"Terminé")</f>
        <v>0</v>
      </c>
      <c r="I19" s="13" t="str">
        <f aca="false">IF(H19=G19,"Terminé",IF(OR(E19&gt;0,H19&gt;0),"En cours","À faire"))</f>
        <v>À faire</v>
      </c>
    </row>
    <row r="20" customFormat="false" ht="15" hidden="false" customHeight="false" outlineLevel="0" collapsed="false">
      <c r="A20" s="10" t="s">
        <v>28</v>
      </c>
      <c r="B20" s="11" t="s">
        <v>29</v>
      </c>
      <c r="C20" s="7" t="str">
        <f aca="false">IF(_xlfn.MINIFS(Plan!$A$5:$A$36,Plan!$B$5:$B$36,A20)=_xlfn.MAXIFS(Plan!$A$5:$A$36,Plan!$B$5:$B$36,A20),_xlfn.MINIFS(Plan!$A$5:$A$36,Plan!$B$5:$B$36,A20)&amp;"",_xlfn.MINIFS(Plan!$A$5:$A$36,Plan!$B$5:$B$36,A20)&amp;"–"&amp;_xlfn.MAXIFS(Plan!$A$5:$A$36,Plan!$B$5:$B$36,A20))</f>
        <v>11</v>
      </c>
      <c r="D20" s="5" t="n">
        <f aca="false">SUMIFS(Plan!$G$5:$G$36,Plan!$B$5:$B$36,A20)</f>
        <v>6</v>
      </c>
      <c r="E20" s="5" t="n">
        <f aca="false">SUMIFS(Plan!$H$5:$H$36,Plan!$B$5:$B$36,A20)</f>
        <v>0</v>
      </c>
      <c r="F20" s="12" t="n">
        <f aca="false">IFERROR(MIN(E20/D20,1),0)</f>
        <v>0</v>
      </c>
      <c r="G20" s="7" t="n">
        <f aca="false">COUNTIF(Plan!$B$5:$B$36,A20)</f>
        <v>2</v>
      </c>
      <c r="H20" s="7" t="n">
        <f aca="false">COUNTIFS(Plan!$B$5:$B$36,A20,Plan!$I$5:$I$36,"Terminé")</f>
        <v>0</v>
      </c>
      <c r="I20" s="13" t="str">
        <f aca="false">IF(H20=G20,"Terminé",IF(OR(E20&gt;0,H20&gt;0),"En cours","À faire"))</f>
        <v>À faire</v>
      </c>
    </row>
    <row r="21" customFormat="false" ht="15" hidden="false" customHeight="false" outlineLevel="0" collapsed="false">
      <c r="A21" s="10" t="s">
        <v>30</v>
      </c>
      <c r="B21" s="11" t="s">
        <v>31</v>
      </c>
      <c r="C21" s="7" t="str">
        <f aca="false">IF(_xlfn.MINIFS(Plan!$A$5:$A$36,Plan!$B$5:$B$36,A21)=_xlfn.MAXIFS(Plan!$A$5:$A$36,Plan!$B$5:$B$36,A21),_xlfn.MINIFS(Plan!$A$5:$A$36,Plan!$B$5:$B$36,A21)&amp;"",_xlfn.MINIFS(Plan!$A$5:$A$36,Plan!$B$5:$B$36,A21)&amp;"–"&amp;_xlfn.MAXIFS(Plan!$A$5:$A$36,Plan!$B$5:$B$36,A21))</f>
        <v>12–13</v>
      </c>
      <c r="D21" s="5" t="n">
        <f aca="false">SUMIFS(Plan!$G$5:$G$36,Plan!$B$5:$B$36,A21)</f>
        <v>12</v>
      </c>
      <c r="E21" s="5" t="n">
        <f aca="false">SUMIFS(Plan!$H$5:$H$36,Plan!$B$5:$B$36,A21)</f>
        <v>0</v>
      </c>
      <c r="F21" s="12" t="n">
        <f aca="false">IFERROR(MIN(E21/D21,1),0)</f>
        <v>0</v>
      </c>
      <c r="G21" s="7" t="n">
        <f aca="false">COUNTIF(Plan!$B$5:$B$36,A21)</f>
        <v>4</v>
      </c>
      <c r="H21" s="7" t="n">
        <f aca="false">COUNTIFS(Plan!$B$5:$B$36,A21,Plan!$I$5:$I$36,"Terminé")</f>
        <v>0</v>
      </c>
      <c r="I21" s="13" t="str">
        <f aca="false">IF(H21=G21,"Terminé",IF(OR(E21&gt;0,H21&gt;0),"En cours","À faire"))</f>
        <v>À faire</v>
      </c>
    </row>
    <row r="22" customFormat="false" ht="15" hidden="false" customHeight="false" outlineLevel="0" collapsed="false">
      <c r="A22" s="10" t="s">
        <v>32</v>
      </c>
      <c r="B22" s="11" t="s">
        <v>33</v>
      </c>
      <c r="C22" s="7" t="str">
        <f aca="false">IF(_xlfn.MINIFS(Plan!$A$5:$A$36,Plan!$B$5:$B$36,A22)=_xlfn.MAXIFS(Plan!$A$5:$A$36,Plan!$B$5:$B$36,A22),_xlfn.MINIFS(Plan!$A$5:$A$36,Plan!$B$5:$B$36,A22)&amp;"",_xlfn.MINIFS(Plan!$A$5:$A$36,Plan!$B$5:$B$36,A22)&amp;"–"&amp;_xlfn.MAXIFS(Plan!$A$5:$A$36,Plan!$B$5:$B$36,A22))</f>
        <v>14</v>
      </c>
      <c r="D22" s="5" t="n">
        <f aca="false">SUMIFS(Plan!$G$5:$G$36,Plan!$B$5:$B$36,A22)</f>
        <v>6</v>
      </c>
      <c r="E22" s="5" t="n">
        <f aca="false">SUMIFS(Plan!$H$5:$H$36,Plan!$B$5:$B$36,A22)</f>
        <v>0</v>
      </c>
      <c r="F22" s="12" t="n">
        <f aca="false">IFERROR(MIN(E22/D22,1),0)</f>
        <v>0</v>
      </c>
      <c r="G22" s="7" t="n">
        <f aca="false">COUNTIF(Plan!$B$5:$B$36,A22)</f>
        <v>2</v>
      </c>
      <c r="H22" s="7" t="n">
        <f aca="false">COUNTIFS(Plan!$B$5:$B$36,A22,Plan!$I$5:$I$36,"Terminé")</f>
        <v>0</v>
      </c>
      <c r="I22" s="13" t="str">
        <f aca="false">IF(H22=G22,"Terminé",IF(OR(E22&gt;0,H22&gt;0),"En cours","À faire"))</f>
        <v>À faire</v>
      </c>
    </row>
    <row r="23" customFormat="false" ht="15" hidden="false" customHeight="false" outlineLevel="0" collapsed="false">
      <c r="A23" s="10" t="s">
        <v>34</v>
      </c>
      <c r="B23" s="11" t="s">
        <v>35</v>
      </c>
      <c r="C23" s="7" t="str">
        <f aca="false">IF(_xlfn.MINIFS(Plan!$A$5:$A$36,Plan!$B$5:$B$36,A23)=_xlfn.MAXIFS(Plan!$A$5:$A$36,Plan!$B$5:$B$36,A23),_xlfn.MINIFS(Plan!$A$5:$A$36,Plan!$B$5:$B$36,A23)&amp;"",_xlfn.MINIFS(Plan!$A$5:$A$36,Plan!$B$5:$B$36,A23)&amp;"–"&amp;_xlfn.MAXIFS(Plan!$A$5:$A$36,Plan!$B$5:$B$36,A23))</f>
        <v>15</v>
      </c>
      <c r="D23" s="5" t="n">
        <f aca="false">SUMIFS(Plan!$G$5:$G$36,Plan!$B$5:$B$36,A23)</f>
        <v>6</v>
      </c>
      <c r="E23" s="5" t="n">
        <f aca="false">SUMIFS(Plan!$H$5:$H$36,Plan!$B$5:$B$36,A23)</f>
        <v>0</v>
      </c>
      <c r="F23" s="12" t="n">
        <f aca="false">IFERROR(MIN(E23/D23,1),0)</f>
        <v>0</v>
      </c>
      <c r="G23" s="7" t="n">
        <f aca="false">COUNTIF(Plan!$B$5:$B$36,A23)</f>
        <v>2</v>
      </c>
      <c r="H23" s="7" t="n">
        <f aca="false">COUNTIFS(Plan!$B$5:$B$36,A23,Plan!$I$5:$I$36,"Terminé")</f>
        <v>0</v>
      </c>
      <c r="I23" s="13" t="str">
        <f aca="false">IF(H23=G23,"Terminé",IF(OR(E23&gt;0,H23&gt;0),"En cours","À faire"))</f>
        <v>À faire</v>
      </c>
    </row>
    <row r="24" customFormat="false" ht="15" hidden="false" customHeight="false" outlineLevel="0" collapsed="false">
      <c r="A24" s="10" t="s">
        <v>36</v>
      </c>
      <c r="B24" s="11" t="s">
        <v>37</v>
      </c>
      <c r="C24" s="7" t="str">
        <f aca="false">IF(_xlfn.MINIFS(Plan!$A$5:$A$36,Plan!$B$5:$B$36,A24)=_xlfn.MAXIFS(Plan!$A$5:$A$36,Plan!$B$5:$B$36,A24),_xlfn.MINIFS(Plan!$A$5:$A$36,Plan!$B$5:$B$36,A24)&amp;"",_xlfn.MINIFS(Plan!$A$5:$A$36,Plan!$B$5:$B$36,A24)&amp;"–"&amp;_xlfn.MAXIFS(Plan!$A$5:$A$36,Plan!$B$5:$B$36,A24))</f>
        <v>16</v>
      </c>
      <c r="D24" s="5" t="n">
        <f aca="false">SUMIFS(Plan!$G$5:$G$36,Plan!$B$5:$B$36,A24)</f>
        <v>6</v>
      </c>
      <c r="E24" s="5" t="n">
        <f aca="false">SUMIFS(Plan!$H$5:$H$36,Plan!$B$5:$B$36,A24)</f>
        <v>0</v>
      </c>
      <c r="F24" s="12" t="n">
        <f aca="false">IFERROR(MIN(E24/D24,1),0)</f>
        <v>0</v>
      </c>
      <c r="G24" s="7" t="n">
        <f aca="false">COUNTIF(Plan!$B$5:$B$36,A24)</f>
        <v>2</v>
      </c>
      <c r="H24" s="7" t="n">
        <f aca="false">COUNTIFS(Plan!$B$5:$B$36,A24,Plan!$I$5:$I$36,"Terminé")</f>
        <v>0</v>
      </c>
      <c r="I24" s="13" t="str">
        <f aca="false">IF(H24=G24,"Terminé",IF(OR(E24&gt;0,H24&gt;0),"En cours","À faire"))</f>
        <v>À faire</v>
      </c>
    </row>
    <row r="27" customFormat="false" ht="15" hidden="false" customHeight="false" outlineLevel="0" collapsed="false">
      <c r="A27" s="2" t="s">
        <v>38</v>
      </c>
    </row>
  </sheetData>
  <conditionalFormatting sqref="F15:F24">
    <cfRule type="dataBar" priority="2">
      <dataBar showValue="1" minLength="10" maxLength="90"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{14E1C252-E7BA-41B7-8DF7-6559CA4F4431}</x14:id>
        </ext>
      </extLst>
    </cfRule>
  </conditionalFormatting>
  <conditionalFormatting sqref="I15:I24">
    <cfRule type="cellIs" priority="3" operator="equal" aboveAverage="0" equalAverage="0" bottom="0" percent="0" rank="0" text="" dxfId="0">
      <formula>"Terminé"</formula>
    </cfRule>
    <cfRule type="cellIs" priority="4" operator="equal" aboveAverage="0" equalAverage="0" bottom="0" percent="0" rank="0" text="" dxfId="1">
      <formula>"En cours"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E1C252-E7BA-41B7-8DF7-6559CA4F4431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9BD5"/>
              <x14:axisColor rgb="FF000000"/>
            </x14:dataBar>
          </x14:cfRule>
          <xm:sqref>F15:F24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3" min="3" style="0" width="24"/>
    <col collapsed="false" customWidth="true" hidden="false" outlineLevel="0" max="4" min="4" style="0" width="48"/>
    <col collapsed="false" customWidth="true" hidden="false" outlineLevel="0" max="5" min="5" style="0" width="34"/>
    <col collapsed="false" customWidth="true" hidden="false" outlineLevel="0" max="6" min="6" style="0" width="30"/>
    <col collapsed="false" customWidth="true" hidden="false" outlineLevel="0" max="8" min="7" style="0" width="10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10"/>
  </cols>
  <sheetData>
    <row r="1" customFormat="false" ht="19.7" hidden="false" customHeight="false" outlineLevel="0" collapsed="false">
      <c r="A1" s="1" t="s">
        <v>39</v>
      </c>
    </row>
    <row r="2" customFormat="false" ht="15" hidden="false" customHeight="false" outlineLevel="0" collapsed="false">
      <c r="A2" s="2" t="s">
        <v>40</v>
      </c>
    </row>
    <row r="4" customFormat="false" ht="35.05" hidden="false" customHeight="false" outlineLevel="0" collapsed="false">
      <c r="A4" s="9" t="s">
        <v>41</v>
      </c>
      <c r="B4" s="9" t="s">
        <v>11</v>
      </c>
      <c r="C4" s="9" t="s">
        <v>42</v>
      </c>
      <c r="D4" s="9" t="s">
        <v>43</v>
      </c>
      <c r="E4" s="9" t="s">
        <v>44</v>
      </c>
      <c r="F4" s="9" t="s">
        <v>45</v>
      </c>
      <c r="G4" s="9" t="s">
        <v>3</v>
      </c>
      <c r="H4" s="9" t="s">
        <v>4</v>
      </c>
      <c r="I4" s="9" t="s">
        <v>17</v>
      </c>
      <c r="J4" s="9" t="s">
        <v>46</v>
      </c>
      <c r="K4" s="9" t="s">
        <v>47</v>
      </c>
    </row>
    <row r="5" customFormat="false" ht="23.85" hidden="false" customHeight="false" outlineLevel="0" collapsed="false">
      <c r="A5" s="13" t="n">
        <v>1</v>
      </c>
      <c r="B5" s="10" t="s">
        <v>18</v>
      </c>
      <c r="C5" s="14" t="s">
        <v>19</v>
      </c>
      <c r="D5" s="14" t="s">
        <v>48</v>
      </c>
      <c r="E5" s="14" t="s">
        <v>49</v>
      </c>
      <c r="F5" s="14" t="s">
        <v>50</v>
      </c>
      <c r="G5" s="15" t="n">
        <v>3</v>
      </c>
      <c r="H5" s="16" t="n">
        <v>3</v>
      </c>
      <c r="I5" s="17" t="s">
        <v>51</v>
      </c>
      <c r="J5" s="18" t="s">
        <v>52</v>
      </c>
      <c r="K5" s="12" t="n">
        <f aca="false">IFERROR(MIN(H5/G5,1),0)</f>
        <v>1</v>
      </c>
    </row>
    <row r="6" customFormat="false" ht="23.85" hidden="false" customHeight="false" outlineLevel="0" collapsed="false">
      <c r="A6" s="13" t="n">
        <v>1</v>
      </c>
      <c r="B6" s="10" t="s">
        <v>18</v>
      </c>
      <c r="C6" s="14" t="s">
        <v>19</v>
      </c>
      <c r="D6" s="14" t="s">
        <v>53</v>
      </c>
      <c r="E6" s="14" t="s">
        <v>54</v>
      </c>
      <c r="F6" s="14" t="s">
        <v>55</v>
      </c>
      <c r="G6" s="15" t="n">
        <v>3</v>
      </c>
      <c r="H6" s="16" t="n">
        <v>0</v>
      </c>
      <c r="I6" s="17" t="s">
        <v>56</v>
      </c>
      <c r="J6" s="18"/>
      <c r="K6" s="12" t="n">
        <f aca="false">IFERROR(MIN(H6/G6,1),0)</f>
        <v>0</v>
      </c>
    </row>
    <row r="7" customFormat="false" ht="23.85" hidden="false" customHeight="false" outlineLevel="0" collapsed="false">
      <c r="A7" s="13" t="n">
        <v>2</v>
      </c>
      <c r="B7" s="10" t="s">
        <v>18</v>
      </c>
      <c r="C7" s="14" t="s">
        <v>19</v>
      </c>
      <c r="D7" s="14" t="s">
        <v>57</v>
      </c>
      <c r="E7" s="14" t="s">
        <v>58</v>
      </c>
      <c r="F7" s="14" t="s">
        <v>59</v>
      </c>
      <c r="G7" s="15" t="n">
        <v>3</v>
      </c>
      <c r="H7" s="16" t="n">
        <v>0</v>
      </c>
      <c r="I7" s="17" t="s">
        <v>56</v>
      </c>
      <c r="J7" s="18"/>
      <c r="K7" s="12" t="n">
        <f aca="false">IFERROR(MIN(H7/G7,1),0)</f>
        <v>0</v>
      </c>
    </row>
    <row r="8" customFormat="false" ht="23.85" hidden="false" customHeight="false" outlineLevel="0" collapsed="false">
      <c r="A8" s="13" t="n">
        <v>2</v>
      </c>
      <c r="B8" s="10" t="s">
        <v>18</v>
      </c>
      <c r="C8" s="14" t="s">
        <v>19</v>
      </c>
      <c r="D8" s="14" t="s">
        <v>60</v>
      </c>
      <c r="E8" s="14" t="s">
        <v>61</v>
      </c>
      <c r="F8" s="14" t="s">
        <v>62</v>
      </c>
      <c r="G8" s="15" t="n">
        <v>3</v>
      </c>
      <c r="H8" s="16" t="n">
        <v>0</v>
      </c>
      <c r="I8" s="17" t="s">
        <v>56</v>
      </c>
      <c r="J8" s="18"/>
      <c r="K8" s="12" t="n">
        <f aca="false">IFERROR(MIN(H8/G8,1),0)</f>
        <v>0</v>
      </c>
    </row>
    <row r="9" customFormat="false" ht="23.85" hidden="false" customHeight="false" outlineLevel="0" collapsed="false">
      <c r="A9" s="13" t="n">
        <v>3</v>
      </c>
      <c r="B9" s="10" t="s">
        <v>20</v>
      </c>
      <c r="C9" s="14" t="s">
        <v>21</v>
      </c>
      <c r="D9" s="14" t="s">
        <v>63</v>
      </c>
      <c r="E9" s="14" t="s">
        <v>64</v>
      </c>
      <c r="F9" s="14" t="s">
        <v>65</v>
      </c>
      <c r="G9" s="15" t="n">
        <v>3</v>
      </c>
      <c r="H9" s="16" t="n">
        <v>0</v>
      </c>
      <c r="I9" s="17" t="s">
        <v>56</v>
      </c>
      <c r="J9" s="18"/>
      <c r="K9" s="12" t="n">
        <f aca="false">IFERROR(MIN(H9/G9,1),0)</f>
        <v>0</v>
      </c>
    </row>
    <row r="10" customFormat="false" ht="23.85" hidden="false" customHeight="false" outlineLevel="0" collapsed="false">
      <c r="A10" s="13" t="n">
        <v>3</v>
      </c>
      <c r="B10" s="10" t="s">
        <v>20</v>
      </c>
      <c r="C10" s="14" t="s">
        <v>21</v>
      </c>
      <c r="D10" s="14" t="s">
        <v>66</v>
      </c>
      <c r="E10" s="14" t="s">
        <v>67</v>
      </c>
      <c r="F10" s="14" t="s">
        <v>68</v>
      </c>
      <c r="G10" s="15" t="n">
        <v>3</v>
      </c>
      <c r="H10" s="16" t="n">
        <v>0</v>
      </c>
      <c r="I10" s="17" t="s">
        <v>56</v>
      </c>
      <c r="J10" s="18"/>
      <c r="K10" s="12" t="n">
        <f aca="false">IFERROR(MIN(H10/G10,1),0)</f>
        <v>0</v>
      </c>
    </row>
    <row r="11" customFormat="false" ht="23.85" hidden="false" customHeight="false" outlineLevel="0" collapsed="false">
      <c r="A11" s="13" t="n">
        <v>4</v>
      </c>
      <c r="B11" s="10" t="s">
        <v>20</v>
      </c>
      <c r="C11" s="14" t="s">
        <v>21</v>
      </c>
      <c r="D11" s="14" t="s">
        <v>69</v>
      </c>
      <c r="E11" s="14" t="s">
        <v>70</v>
      </c>
      <c r="F11" s="14" t="s">
        <v>71</v>
      </c>
      <c r="G11" s="15" t="n">
        <v>3</v>
      </c>
      <c r="H11" s="16" t="n">
        <v>0</v>
      </c>
      <c r="I11" s="17" t="s">
        <v>56</v>
      </c>
      <c r="J11" s="18"/>
      <c r="K11" s="12" t="n">
        <f aca="false">IFERROR(MIN(H11/G11,1),0)</f>
        <v>0</v>
      </c>
    </row>
    <row r="12" customFormat="false" ht="23.85" hidden="false" customHeight="false" outlineLevel="0" collapsed="false">
      <c r="A12" s="13" t="n">
        <v>4</v>
      </c>
      <c r="B12" s="10" t="s">
        <v>20</v>
      </c>
      <c r="C12" s="14" t="s">
        <v>21</v>
      </c>
      <c r="D12" s="14" t="s">
        <v>72</v>
      </c>
      <c r="E12" s="14" t="s">
        <v>73</v>
      </c>
      <c r="F12" s="14" t="s">
        <v>74</v>
      </c>
      <c r="G12" s="15" t="n">
        <v>3</v>
      </c>
      <c r="H12" s="16" t="n">
        <v>0</v>
      </c>
      <c r="I12" s="17" t="s">
        <v>56</v>
      </c>
      <c r="J12" s="18"/>
      <c r="K12" s="12" t="n">
        <f aca="false">IFERROR(MIN(H12/G12,1),0)</f>
        <v>0</v>
      </c>
    </row>
    <row r="13" customFormat="false" ht="15" hidden="false" customHeight="false" outlineLevel="0" collapsed="false">
      <c r="A13" s="13" t="n">
        <v>5</v>
      </c>
      <c r="B13" s="10" t="s">
        <v>22</v>
      </c>
      <c r="C13" s="14" t="s">
        <v>23</v>
      </c>
      <c r="D13" s="14" t="s">
        <v>75</v>
      </c>
      <c r="E13" s="14" t="s">
        <v>76</v>
      </c>
      <c r="F13" s="14" t="s">
        <v>77</v>
      </c>
      <c r="G13" s="15" t="n">
        <v>3</v>
      </c>
      <c r="H13" s="16" t="n">
        <v>0</v>
      </c>
      <c r="I13" s="17" t="s">
        <v>56</v>
      </c>
      <c r="J13" s="18"/>
      <c r="K13" s="12" t="n">
        <f aca="false">IFERROR(MIN(H13/G13,1),0)</f>
        <v>0</v>
      </c>
    </row>
    <row r="14" customFormat="false" ht="23.85" hidden="false" customHeight="false" outlineLevel="0" collapsed="false">
      <c r="A14" s="13" t="n">
        <v>5</v>
      </c>
      <c r="B14" s="10" t="s">
        <v>22</v>
      </c>
      <c r="C14" s="14" t="s">
        <v>23</v>
      </c>
      <c r="D14" s="14" t="s">
        <v>78</v>
      </c>
      <c r="E14" s="14" t="s">
        <v>79</v>
      </c>
      <c r="F14" s="14" t="s">
        <v>80</v>
      </c>
      <c r="G14" s="15" t="n">
        <v>3</v>
      </c>
      <c r="H14" s="16" t="n">
        <v>0</v>
      </c>
      <c r="I14" s="17" t="s">
        <v>56</v>
      </c>
      <c r="J14" s="18"/>
      <c r="K14" s="12" t="n">
        <f aca="false">IFERROR(MIN(H14/G14,1),0)</f>
        <v>0</v>
      </c>
    </row>
    <row r="15" customFormat="false" ht="23.85" hidden="false" customHeight="false" outlineLevel="0" collapsed="false">
      <c r="A15" s="13" t="n">
        <v>6</v>
      </c>
      <c r="B15" s="10" t="s">
        <v>22</v>
      </c>
      <c r="C15" s="14" t="s">
        <v>23</v>
      </c>
      <c r="D15" s="14" t="s">
        <v>81</v>
      </c>
      <c r="E15" s="14" t="s">
        <v>82</v>
      </c>
      <c r="F15" s="14" t="s">
        <v>83</v>
      </c>
      <c r="G15" s="15" t="n">
        <v>3</v>
      </c>
      <c r="H15" s="16" t="n">
        <v>0</v>
      </c>
      <c r="I15" s="17" t="s">
        <v>56</v>
      </c>
      <c r="J15" s="18"/>
      <c r="K15" s="12" t="n">
        <f aca="false">IFERROR(MIN(H15/G15,1),0)</f>
        <v>0</v>
      </c>
    </row>
    <row r="16" customFormat="false" ht="23.85" hidden="false" customHeight="false" outlineLevel="0" collapsed="false">
      <c r="A16" s="13" t="n">
        <v>6</v>
      </c>
      <c r="B16" s="10" t="s">
        <v>22</v>
      </c>
      <c r="C16" s="14" t="s">
        <v>23</v>
      </c>
      <c r="D16" s="14" t="s">
        <v>84</v>
      </c>
      <c r="E16" s="14" t="s">
        <v>85</v>
      </c>
      <c r="F16" s="14" t="s">
        <v>86</v>
      </c>
      <c r="G16" s="15" t="n">
        <v>3</v>
      </c>
      <c r="H16" s="16" t="n">
        <v>0</v>
      </c>
      <c r="I16" s="17" t="s">
        <v>56</v>
      </c>
      <c r="J16" s="18"/>
      <c r="K16" s="12" t="n">
        <f aca="false">IFERROR(MIN(H16/G16,1),0)</f>
        <v>0</v>
      </c>
    </row>
    <row r="17" customFormat="false" ht="23.85" hidden="false" customHeight="false" outlineLevel="0" collapsed="false">
      <c r="A17" s="13" t="n">
        <v>7</v>
      </c>
      <c r="B17" s="10" t="s">
        <v>24</v>
      </c>
      <c r="C17" s="14" t="s">
        <v>25</v>
      </c>
      <c r="D17" s="14" t="s">
        <v>87</v>
      </c>
      <c r="E17" s="14" t="s">
        <v>88</v>
      </c>
      <c r="F17" s="14" t="s">
        <v>89</v>
      </c>
      <c r="G17" s="15" t="n">
        <v>3</v>
      </c>
      <c r="H17" s="16" t="n">
        <v>0</v>
      </c>
      <c r="I17" s="17" t="s">
        <v>56</v>
      </c>
      <c r="J17" s="18"/>
      <c r="K17" s="12" t="n">
        <f aca="false">IFERROR(MIN(H17/G17,1),0)</f>
        <v>0</v>
      </c>
    </row>
    <row r="18" customFormat="false" ht="23.85" hidden="false" customHeight="false" outlineLevel="0" collapsed="false">
      <c r="A18" s="13" t="n">
        <v>7</v>
      </c>
      <c r="B18" s="10" t="s">
        <v>24</v>
      </c>
      <c r="C18" s="14" t="s">
        <v>25</v>
      </c>
      <c r="D18" s="14" t="s">
        <v>90</v>
      </c>
      <c r="E18" s="14" t="s">
        <v>91</v>
      </c>
      <c r="F18" s="14" t="s">
        <v>92</v>
      </c>
      <c r="G18" s="15" t="n">
        <v>3</v>
      </c>
      <c r="H18" s="16" t="n">
        <v>0</v>
      </c>
      <c r="I18" s="17" t="s">
        <v>56</v>
      </c>
      <c r="J18" s="18"/>
      <c r="K18" s="12" t="n">
        <f aca="false">IFERROR(MIN(H18/G18,1),0)</f>
        <v>0</v>
      </c>
    </row>
    <row r="19" customFormat="false" ht="23.85" hidden="false" customHeight="false" outlineLevel="0" collapsed="false">
      <c r="A19" s="13" t="n">
        <v>8</v>
      </c>
      <c r="B19" s="10" t="s">
        <v>24</v>
      </c>
      <c r="C19" s="14" t="s">
        <v>25</v>
      </c>
      <c r="D19" s="14" t="s">
        <v>93</v>
      </c>
      <c r="E19" s="14" t="s">
        <v>94</v>
      </c>
      <c r="F19" s="14" t="s">
        <v>95</v>
      </c>
      <c r="G19" s="15" t="n">
        <v>3</v>
      </c>
      <c r="H19" s="16" t="n">
        <v>0</v>
      </c>
      <c r="I19" s="17" t="s">
        <v>56</v>
      </c>
      <c r="J19" s="18"/>
      <c r="K19" s="12" t="n">
        <f aca="false">IFERROR(MIN(H19/G19,1),0)</f>
        <v>0</v>
      </c>
    </row>
    <row r="20" customFormat="false" ht="23.85" hidden="false" customHeight="false" outlineLevel="0" collapsed="false">
      <c r="A20" s="13" t="n">
        <v>8</v>
      </c>
      <c r="B20" s="10" t="s">
        <v>24</v>
      </c>
      <c r="C20" s="14" t="s">
        <v>25</v>
      </c>
      <c r="D20" s="14" t="s">
        <v>96</v>
      </c>
      <c r="E20" s="14" t="s">
        <v>97</v>
      </c>
      <c r="F20" s="14" t="s">
        <v>98</v>
      </c>
      <c r="G20" s="15" t="n">
        <v>3</v>
      </c>
      <c r="H20" s="16" t="n">
        <v>0</v>
      </c>
      <c r="I20" s="17" t="s">
        <v>56</v>
      </c>
      <c r="J20" s="18"/>
      <c r="K20" s="12" t="n">
        <f aca="false">IFERROR(MIN(H20/G20,1),0)</f>
        <v>0</v>
      </c>
    </row>
    <row r="21" customFormat="false" ht="23.85" hidden="false" customHeight="false" outlineLevel="0" collapsed="false">
      <c r="A21" s="13" t="n">
        <v>9</v>
      </c>
      <c r="B21" s="10" t="s">
        <v>26</v>
      </c>
      <c r="C21" s="14" t="s">
        <v>27</v>
      </c>
      <c r="D21" s="14" t="s">
        <v>99</v>
      </c>
      <c r="E21" s="14" t="s">
        <v>100</v>
      </c>
      <c r="F21" s="14" t="s">
        <v>101</v>
      </c>
      <c r="G21" s="15" t="n">
        <v>3</v>
      </c>
      <c r="H21" s="16" t="n">
        <v>0</v>
      </c>
      <c r="I21" s="17" t="s">
        <v>56</v>
      </c>
      <c r="J21" s="18"/>
      <c r="K21" s="12" t="n">
        <f aca="false">IFERROR(MIN(H21/G21,1),0)</f>
        <v>0</v>
      </c>
    </row>
    <row r="22" customFormat="false" ht="23.85" hidden="false" customHeight="false" outlineLevel="0" collapsed="false">
      <c r="A22" s="13" t="n">
        <v>9</v>
      </c>
      <c r="B22" s="10" t="s">
        <v>26</v>
      </c>
      <c r="C22" s="14" t="s">
        <v>27</v>
      </c>
      <c r="D22" s="14" t="s">
        <v>102</v>
      </c>
      <c r="E22" s="14" t="s">
        <v>103</v>
      </c>
      <c r="F22" s="14" t="s">
        <v>104</v>
      </c>
      <c r="G22" s="15" t="n">
        <v>3</v>
      </c>
      <c r="H22" s="16" t="n">
        <v>0</v>
      </c>
      <c r="I22" s="17" t="s">
        <v>56</v>
      </c>
      <c r="J22" s="18"/>
      <c r="K22" s="12" t="n">
        <f aca="false">IFERROR(MIN(H22/G22,1),0)</f>
        <v>0</v>
      </c>
    </row>
    <row r="23" customFormat="false" ht="23.85" hidden="false" customHeight="false" outlineLevel="0" collapsed="false">
      <c r="A23" s="13" t="n">
        <v>10</v>
      </c>
      <c r="B23" s="10" t="s">
        <v>26</v>
      </c>
      <c r="C23" s="14" t="s">
        <v>27</v>
      </c>
      <c r="D23" s="14" t="s">
        <v>105</v>
      </c>
      <c r="E23" s="14" t="s">
        <v>106</v>
      </c>
      <c r="F23" s="14" t="s">
        <v>107</v>
      </c>
      <c r="G23" s="15" t="n">
        <v>3</v>
      </c>
      <c r="H23" s="16" t="n">
        <v>0</v>
      </c>
      <c r="I23" s="17" t="s">
        <v>56</v>
      </c>
      <c r="J23" s="18"/>
      <c r="K23" s="12" t="n">
        <f aca="false">IFERROR(MIN(H23/G23,1),0)</f>
        <v>0</v>
      </c>
    </row>
    <row r="24" customFormat="false" ht="23.85" hidden="false" customHeight="false" outlineLevel="0" collapsed="false">
      <c r="A24" s="13" t="n">
        <v>10</v>
      </c>
      <c r="B24" s="10" t="s">
        <v>26</v>
      </c>
      <c r="C24" s="14" t="s">
        <v>27</v>
      </c>
      <c r="D24" s="14" t="s">
        <v>108</v>
      </c>
      <c r="E24" s="14" t="s">
        <v>109</v>
      </c>
      <c r="F24" s="14" t="s">
        <v>110</v>
      </c>
      <c r="G24" s="15" t="n">
        <v>3</v>
      </c>
      <c r="H24" s="16" t="n">
        <v>0</v>
      </c>
      <c r="I24" s="17" t="s">
        <v>56</v>
      </c>
      <c r="J24" s="18"/>
      <c r="K24" s="12" t="n">
        <f aca="false">IFERROR(MIN(H24/G24,1),0)</f>
        <v>0</v>
      </c>
    </row>
    <row r="25" customFormat="false" ht="23.85" hidden="false" customHeight="false" outlineLevel="0" collapsed="false">
      <c r="A25" s="13" t="n">
        <v>11</v>
      </c>
      <c r="B25" s="10" t="s">
        <v>28</v>
      </c>
      <c r="C25" s="14" t="s">
        <v>29</v>
      </c>
      <c r="D25" s="14" t="s">
        <v>111</v>
      </c>
      <c r="E25" s="14" t="s">
        <v>112</v>
      </c>
      <c r="F25" s="14" t="s">
        <v>113</v>
      </c>
      <c r="G25" s="15" t="n">
        <v>3</v>
      </c>
      <c r="H25" s="16" t="n">
        <v>0</v>
      </c>
      <c r="I25" s="17" t="s">
        <v>56</v>
      </c>
      <c r="J25" s="18"/>
      <c r="K25" s="12" t="n">
        <f aca="false">IFERROR(MIN(H25/G25,1),0)</f>
        <v>0</v>
      </c>
    </row>
    <row r="26" customFormat="false" ht="23.85" hidden="false" customHeight="false" outlineLevel="0" collapsed="false">
      <c r="A26" s="13" t="n">
        <v>11</v>
      </c>
      <c r="B26" s="10" t="s">
        <v>28</v>
      </c>
      <c r="C26" s="14" t="s">
        <v>29</v>
      </c>
      <c r="D26" s="14" t="s">
        <v>114</v>
      </c>
      <c r="E26" s="14" t="s">
        <v>115</v>
      </c>
      <c r="F26" s="14" t="s">
        <v>116</v>
      </c>
      <c r="G26" s="15" t="n">
        <v>3</v>
      </c>
      <c r="H26" s="16" t="n">
        <v>0</v>
      </c>
      <c r="I26" s="17" t="s">
        <v>56</v>
      </c>
      <c r="J26" s="18"/>
      <c r="K26" s="12" t="n">
        <f aca="false">IFERROR(MIN(H26/G26,1),0)</f>
        <v>0</v>
      </c>
    </row>
    <row r="27" customFormat="false" ht="23.85" hidden="false" customHeight="false" outlineLevel="0" collapsed="false">
      <c r="A27" s="13" t="n">
        <v>12</v>
      </c>
      <c r="B27" s="10" t="s">
        <v>30</v>
      </c>
      <c r="C27" s="14" t="s">
        <v>31</v>
      </c>
      <c r="D27" s="14" t="s">
        <v>117</v>
      </c>
      <c r="E27" s="14" t="s">
        <v>118</v>
      </c>
      <c r="F27" s="14" t="s">
        <v>119</v>
      </c>
      <c r="G27" s="15" t="n">
        <v>3</v>
      </c>
      <c r="H27" s="16" t="n">
        <v>0</v>
      </c>
      <c r="I27" s="17" t="s">
        <v>56</v>
      </c>
      <c r="J27" s="18"/>
      <c r="K27" s="12" t="n">
        <f aca="false">IFERROR(MIN(H27/G27,1),0)</f>
        <v>0</v>
      </c>
    </row>
    <row r="28" customFormat="false" ht="15" hidden="false" customHeight="false" outlineLevel="0" collapsed="false">
      <c r="A28" s="13" t="n">
        <v>12</v>
      </c>
      <c r="B28" s="10" t="s">
        <v>30</v>
      </c>
      <c r="C28" s="14" t="s">
        <v>31</v>
      </c>
      <c r="D28" s="14" t="s">
        <v>120</v>
      </c>
      <c r="E28" s="14" t="s">
        <v>121</v>
      </c>
      <c r="F28" s="14" t="s">
        <v>122</v>
      </c>
      <c r="G28" s="15" t="n">
        <v>3</v>
      </c>
      <c r="H28" s="16" t="n">
        <v>0</v>
      </c>
      <c r="I28" s="17" t="s">
        <v>56</v>
      </c>
      <c r="J28" s="18"/>
      <c r="K28" s="12" t="n">
        <f aca="false">IFERROR(MIN(H28/G28,1),0)</f>
        <v>0</v>
      </c>
    </row>
    <row r="29" customFormat="false" ht="23.85" hidden="false" customHeight="false" outlineLevel="0" collapsed="false">
      <c r="A29" s="13" t="n">
        <v>13</v>
      </c>
      <c r="B29" s="10" t="s">
        <v>30</v>
      </c>
      <c r="C29" s="14" t="s">
        <v>31</v>
      </c>
      <c r="D29" s="14" t="s">
        <v>123</v>
      </c>
      <c r="E29" s="14" t="s">
        <v>124</v>
      </c>
      <c r="F29" s="14" t="s">
        <v>125</v>
      </c>
      <c r="G29" s="15" t="n">
        <v>3</v>
      </c>
      <c r="H29" s="16" t="n">
        <v>0</v>
      </c>
      <c r="I29" s="17" t="s">
        <v>56</v>
      </c>
      <c r="J29" s="18"/>
      <c r="K29" s="12" t="n">
        <f aca="false">IFERROR(MIN(H29/G29,1),0)</f>
        <v>0</v>
      </c>
    </row>
    <row r="30" customFormat="false" ht="23.85" hidden="false" customHeight="false" outlineLevel="0" collapsed="false">
      <c r="A30" s="13" t="n">
        <v>13</v>
      </c>
      <c r="B30" s="10" t="s">
        <v>30</v>
      </c>
      <c r="C30" s="14" t="s">
        <v>31</v>
      </c>
      <c r="D30" s="14" t="s">
        <v>126</v>
      </c>
      <c r="E30" s="14" t="s">
        <v>127</v>
      </c>
      <c r="F30" s="14" t="s">
        <v>128</v>
      </c>
      <c r="G30" s="15" t="n">
        <v>3</v>
      </c>
      <c r="H30" s="16" t="n">
        <v>0</v>
      </c>
      <c r="I30" s="17" t="s">
        <v>56</v>
      </c>
      <c r="J30" s="18"/>
      <c r="K30" s="12" t="n">
        <f aca="false">IFERROR(MIN(H30/G30,1),0)</f>
        <v>0</v>
      </c>
    </row>
    <row r="31" customFormat="false" ht="23.85" hidden="false" customHeight="false" outlineLevel="0" collapsed="false">
      <c r="A31" s="13" t="n">
        <v>14</v>
      </c>
      <c r="B31" s="10" t="s">
        <v>32</v>
      </c>
      <c r="C31" s="14" t="s">
        <v>33</v>
      </c>
      <c r="D31" s="14" t="s">
        <v>129</v>
      </c>
      <c r="E31" s="14" t="s">
        <v>130</v>
      </c>
      <c r="F31" s="14" t="s">
        <v>131</v>
      </c>
      <c r="G31" s="15" t="n">
        <v>3</v>
      </c>
      <c r="H31" s="16" t="n">
        <v>0</v>
      </c>
      <c r="I31" s="17" t="s">
        <v>56</v>
      </c>
      <c r="J31" s="18"/>
      <c r="K31" s="12" t="n">
        <f aca="false">IFERROR(MIN(H31/G31,1),0)</f>
        <v>0</v>
      </c>
    </row>
    <row r="32" customFormat="false" ht="23.85" hidden="false" customHeight="false" outlineLevel="0" collapsed="false">
      <c r="A32" s="13" t="n">
        <v>14</v>
      </c>
      <c r="B32" s="10" t="s">
        <v>32</v>
      </c>
      <c r="C32" s="14" t="s">
        <v>33</v>
      </c>
      <c r="D32" s="14" t="s">
        <v>132</v>
      </c>
      <c r="E32" s="14" t="s">
        <v>130</v>
      </c>
      <c r="F32" s="14" t="s">
        <v>133</v>
      </c>
      <c r="G32" s="15" t="n">
        <v>3</v>
      </c>
      <c r="H32" s="16" t="n">
        <v>0</v>
      </c>
      <c r="I32" s="17" t="s">
        <v>56</v>
      </c>
      <c r="J32" s="18"/>
      <c r="K32" s="12" t="n">
        <f aca="false">IFERROR(MIN(H32/G32,1),0)</f>
        <v>0</v>
      </c>
    </row>
    <row r="33" customFormat="false" ht="23.85" hidden="false" customHeight="false" outlineLevel="0" collapsed="false">
      <c r="A33" s="13" t="n">
        <v>15</v>
      </c>
      <c r="B33" s="10" t="s">
        <v>34</v>
      </c>
      <c r="C33" s="14" t="s">
        <v>35</v>
      </c>
      <c r="D33" s="14" t="s">
        <v>134</v>
      </c>
      <c r="E33" s="14" t="s">
        <v>135</v>
      </c>
      <c r="F33" s="14" t="s">
        <v>136</v>
      </c>
      <c r="G33" s="15" t="n">
        <v>3</v>
      </c>
      <c r="H33" s="16" t="n">
        <v>0</v>
      </c>
      <c r="I33" s="17" t="s">
        <v>56</v>
      </c>
      <c r="J33" s="18"/>
      <c r="K33" s="12" t="n">
        <f aca="false">IFERROR(MIN(H33/G33,1),0)</f>
        <v>0</v>
      </c>
    </row>
    <row r="34" customFormat="false" ht="23.85" hidden="false" customHeight="false" outlineLevel="0" collapsed="false">
      <c r="A34" s="13" t="n">
        <v>15</v>
      </c>
      <c r="B34" s="10" t="s">
        <v>34</v>
      </c>
      <c r="C34" s="14" t="s">
        <v>35</v>
      </c>
      <c r="D34" s="14" t="s">
        <v>137</v>
      </c>
      <c r="E34" s="14" t="s">
        <v>138</v>
      </c>
      <c r="F34" s="14" t="s">
        <v>139</v>
      </c>
      <c r="G34" s="15" t="n">
        <v>3</v>
      </c>
      <c r="H34" s="16" t="n">
        <v>0</v>
      </c>
      <c r="I34" s="17" t="s">
        <v>56</v>
      </c>
      <c r="J34" s="18"/>
      <c r="K34" s="12" t="n">
        <f aca="false">IFERROR(MIN(H34/G34,1),0)</f>
        <v>0</v>
      </c>
    </row>
    <row r="35" customFormat="false" ht="23.85" hidden="false" customHeight="false" outlineLevel="0" collapsed="false">
      <c r="A35" s="13" t="n">
        <v>16</v>
      </c>
      <c r="B35" s="10" t="s">
        <v>36</v>
      </c>
      <c r="C35" s="14" t="s">
        <v>37</v>
      </c>
      <c r="D35" s="14" t="s">
        <v>140</v>
      </c>
      <c r="E35" s="14" t="s">
        <v>141</v>
      </c>
      <c r="F35" s="14" t="s">
        <v>142</v>
      </c>
      <c r="G35" s="15" t="n">
        <v>4</v>
      </c>
      <c r="H35" s="16" t="n">
        <v>0</v>
      </c>
      <c r="I35" s="17" t="s">
        <v>56</v>
      </c>
      <c r="J35" s="18"/>
      <c r="K35" s="12" t="n">
        <f aca="false">IFERROR(MIN(H35/G35,1),0)</f>
        <v>0</v>
      </c>
    </row>
    <row r="36" customFormat="false" ht="23.85" hidden="false" customHeight="false" outlineLevel="0" collapsed="false">
      <c r="A36" s="13" t="n">
        <v>16</v>
      </c>
      <c r="B36" s="10" t="s">
        <v>36</v>
      </c>
      <c r="C36" s="14" t="s">
        <v>37</v>
      </c>
      <c r="D36" s="14" t="s">
        <v>143</v>
      </c>
      <c r="E36" s="14" t="s">
        <v>144</v>
      </c>
      <c r="F36" s="14" t="s">
        <v>145</v>
      </c>
      <c r="G36" s="15" t="n">
        <v>2</v>
      </c>
      <c r="H36" s="16" t="n">
        <v>0</v>
      </c>
      <c r="I36" s="17" t="s">
        <v>56</v>
      </c>
      <c r="J36" s="18"/>
      <c r="K36" s="12" t="n">
        <f aca="false">IFERROR(MIN(H36/G36,1),0)</f>
        <v>0</v>
      </c>
    </row>
    <row r="37" customFormat="false" ht="15" hidden="false" customHeight="false" outlineLevel="0" collapsed="false">
      <c r="F37" s="19" t="s">
        <v>146</v>
      </c>
      <c r="G37" s="20" t="n">
        <f aca="false">SUM(G5:G36)</f>
        <v>96</v>
      </c>
      <c r="H37" s="20" t="n">
        <f aca="false">SUM(H5:H36)</f>
        <v>3</v>
      </c>
      <c r="K37" s="21" t="n">
        <f aca="false">IFERROR(H37/G37,0)</f>
        <v>0.03125</v>
      </c>
    </row>
  </sheetData>
  <autoFilter ref="A4:K36"/>
  <conditionalFormatting sqref="I5:I36">
    <cfRule type="cellIs" priority="2" operator="equal" aboveAverage="0" equalAverage="0" bottom="0" percent="0" rank="0" text="" dxfId="0">
      <formula>"Terminé"</formula>
    </cfRule>
    <cfRule type="cellIs" priority="3" operator="equal" aboveAverage="0" equalAverage="0" bottom="0" percent="0" rank="0" text="" dxfId="1">
      <formula>"En cours"</formula>
    </cfRule>
  </conditionalFormatting>
  <conditionalFormatting sqref="K5:K36">
    <cfRule type="dataBar" priority="4">
      <dataBar showValue="1" minLength="10" maxLength="90"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{4BBE59E0-F915-4DB5-A152-4620D3A493CB}</x14:id>
        </ext>
      </extLst>
    </cfRule>
  </conditionalFormatting>
  <dataValidations count="1">
    <dataValidation allowBlank="true" errorStyle="stop" operator="between" showDropDown="false" showErrorMessage="false" showInputMessage="false" sqref="I5:I36" type="list">
      <formula1>"À faire,En cours,Terminé"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BBE59E0-F915-4DB5-A152-4620D3A493CB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9BD5"/>
              <x14:axisColor rgb="FF000000"/>
            </x14:dataBar>
          </x14:cfRule>
          <xm:sqref>K5:K36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8"/>
    <col collapsed="false" customWidth="true" hidden="false" outlineLevel="0" max="3" min="3" style="0" width="28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7" min="7" style="0" width="11"/>
    <col collapsed="false" customWidth="true" hidden="false" outlineLevel="0" max="8" min="8" style="0" width="36"/>
  </cols>
  <sheetData>
    <row r="1" customFormat="false" ht="19.7" hidden="false" customHeight="false" outlineLevel="0" collapsed="false">
      <c r="A1" s="1" t="s">
        <v>147</v>
      </c>
    </row>
    <row r="2" customFormat="false" ht="15" hidden="false" customHeight="false" outlineLevel="0" collapsed="false">
      <c r="A2" s="2" t="s">
        <v>148</v>
      </c>
    </row>
    <row r="4" customFormat="false" ht="23.85" hidden="false" customHeight="false" outlineLevel="0" collapsed="false">
      <c r="A4" s="9" t="s">
        <v>149</v>
      </c>
      <c r="B4" s="9" t="s">
        <v>11</v>
      </c>
      <c r="C4" s="9" t="s">
        <v>150</v>
      </c>
      <c r="D4" s="9" t="s">
        <v>151</v>
      </c>
      <c r="E4" s="9" t="s">
        <v>152</v>
      </c>
      <c r="F4" s="9" t="s">
        <v>153</v>
      </c>
      <c r="G4" s="9" t="s">
        <v>154</v>
      </c>
      <c r="H4" s="9" t="s">
        <v>155</v>
      </c>
    </row>
    <row r="5" customFormat="false" ht="15" hidden="false" customHeight="false" outlineLevel="0" collapsed="false">
      <c r="A5" s="14" t="s">
        <v>156</v>
      </c>
      <c r="B5" s="10" t="s">
        <v>18</v>
      </c>
      <c r="C5" s="14" t="s">
        <v>157</v>
      </c>
      <c r="D5" s="17" t="n">
        <v>2</v>
      </c>
      <c r="E5" s="17" t="n">
        <v>5</v>
      </c>
      <c r="F5" s="13" t="n">
        <f aca="false">MAX(E5-D5,0)</f>
        <v>3</v>
      </c>
      <c r="G5" s="13" t="str">
        <f aca="false">IF(F5&gt;=3,"Haute",IF(F5=2,"Moyenne",IF(F5=1,"Basse","Acquise")))</f>
        <v>Haute</v>
      </c>
      <c r="H5" s="14" t="s">
        <v>158</v>
      </c>
    </row>
    <row r="6" customFormat="false" ht="15" hidden="false" customHeight="false" outlineLevel="0" collapsed="false">
      <c r="A6" s="14" t="s">
        <v>159</v>
      </c>
      <c r="B6" s="10" t="s">
        <v>18</v>
      </c>
      <c r="C6" s="14" t="s">
        <v>160</v>
      </c>
      <c r="D6" s="17" t="n">
        <v>3</v>
      </c>
      <c r="E6" s="17" t="n">
        <v>4</v>
      </c>
      <c r="F6" s="13" t="n">
        <f aca="false">MAX(E6-D6,0)</f>
        <v>1</v>
      </c>
      <c r="G6" s="13" t="str">
        <f aca="false">IF(F6&gt;=3,"Haute",IF(F6=2,"Moyenne",IF(F6=1,"Basse","Acquise")))</f>
        <v>Basse</v>
      </c>
      <c r="H6" s="14" t="s">
        <v>161</v>
      </c>
    </row>
    <row r="7" customFormat="false" ht="15" hidden="false" customHeight="false" outlineLevel="0" collapsed="false">
      <c r="A7" s="14" t="s">
        <v>162</v>
      </c>
      <c r="B7" s="10" t="s">
        <v>20</v>
      </c>
      <c r="C7" s="14" t="s">
        <v>157</v>
      </c>
      <c r="D7" s="17" t="n">
        <v>3</v>
      </c>
      <c r="E7" s="17" t="n">
        <v>5</v>
      </c>
      <c r="F7" s="13" t="n">
        <f aca="false">MAX(E7-D7,0)</f>
        <v>2</v>
      </c>
      <c r="G7" s="13" t="str">
        <f aca="false">IF(F7&gt;=3,"Haute",IF(F7=2,"Moyenne",IF(F7=1,"Basse","Acquise")))</f>
        <v>Moyenne</v>
      </c>
      <c r="H7" s="14" t="s">
        <v>163</v>
      </c>
    </row>
    <row r="8" customFormat="false" ht="15" hidden="false" customHeight="false" outlineLevel="0" collapsed="false">
      <c r="A8" s="14" t="s">
        <v>164</v>
      </c>
      <c r="B8" s="10" t="s">
        <v>20</v>
      </c>
      <c r="C8" s="14" t="s">
        <v>165</v>
      </c>
      <c r="D8" s="17" t="n">
        <v>1</v>
      </c>
      <c r="E8" s="17" t="n">
        <v>4</v>
      </c>
      <c r="F8" s="13" t="n">
        <f aca="false">MAX(E8-D8,0)</f>
        <v>3</v>
      </c>
      <c r="G8" s="13" t="str">
        <f aca="false">IF(F8&gt;=3,"Haute",IF(F8=2,"Moyenne",IF(F8=1,"Basse","Acquise")))</f>
        <v>Haute</v>
      </c>
      <c r="H8" s="14" t="s">
        <v>166</v>
      </c>
    </row>
    <row r="9" customFormat="false" ht="15" hidden="false" customHeight="false" outlineLevel="0" collapsed="false">
      <c r="A9" s="14" t="s">
        <v>167</v>
      </c>
      <c r="B9" s="10" t="s">
        <v>22</v>
      </c>
      <c r="C9" s="14" t="s">
        <v>168</v>
      </c>
      <c r="D9" s="17" t="n">
        <v>2</v>
      </c>
      <c r="E9" s="17" t="n">
        <v>5</v>
      </c>
      <c r="F9" s="13" t="n">
        <f aca="false">MAX(E9-D9,0)</f>
        <v>3</v>
      </c>
      <c r="G9" s="13" t="str">
        <f aca="false">IF(F9&gt;=3,"Haute",IF(F9=2,"Moyenne",IF(F9=1,"Basse","Acquise")))</f>
        <v>Haute</v>
      </c>
      <c r="H9" s="14" t="s">
        <v>169</v>
      </c>
    </row>
    <row r="10" customFormat="false" ht="15" hidden="false" customHeight="false" outlineLevel="0" collapsed="false">
      <c r="A10" s="14" t="s">
        <v>170</v>
      </c>
      <c r="B10" s="10" t="s">
        <v>24</v>
      </c>
      <c r="C10" s="14" t="s">
        <v>168</v>
      </c>
      <c r="D10" s="17" t="n">
        <v>1</v>
      </c>
      <c r="E10" s="17" t="n">
        <v>4</v>
      </c>
      <c r="F10" s="13" t="n">
        <f aca="false">MAX(E10-D10,0)</f>
        <v>3</v>
      </c>
      <c r="G10" s="13" t="str">
        <f aca="false">IF(F10&gt;=3,"Haute",IF(F10=2,"Moyenne",IF(F10=1,"Basse","Acquise")))</f>
        <v>Haute</v>
      </c>
      <c r="H10" s="14" t="s">
        <v>171</v>
      </c>
    </row>
    <row r="11" customFormat="false" ht="15" hidden="false" customHeight="false" outlineLevel="0" collapsed="false">
      <c r="A11" s="14" t="s">
        <v>172</v>
      </c>
      <c r="B11" s="10" t="s">
        <v>24</v>
      </c>
      <c r="C11" s="14" t="s">
        <v>168</v>
      </c>
      <c r="D11" s="17" t="n">
        <v>2</v>
      </c>
      <c r="E11" s="17" t="n">
        <v>4</v>
      </c>
      <c r="F11" s="13" t="n">
        <f aca="false">MAX(E11-D11,0)</f>
        <v>2</v>
      </c>
      <c r="G11" s="13" t="str">
        <f aca="false">IF(F11&gt;=3,"Haute",IF(F11=2,"Moyenne",IF(F11=1,"Basse","Acquise")))</f>
        <v>Moyenne</v>
      </c>
      <c r="H11" s="14" t="s">
        <v>173</v>
      </c>
    </row>
    <row r="12" customFormat="false" ht="15" hidden="false" customHeight="false" outlineLevel="0" collapsed="false">
      <c r="A12" s="14" t="s">
        <v>174</v>
      </c>
      <c r="B12" s="10" t="s">
        <v>26</v>
      </c>
      <c r="C12" s="14" t="s">
        <v>168</v>
      </c>
      <c r="D12" s="17" t="n">
        <v>2</v>
      </c>
      <c r="E12" s="17" t="n">
        <v>5</v>
      </c>
      <c r="F12" s="13" t="n">
        <f aca="false">MAX(E12-D12,0)</f>
        <v>3</v>
      </c>
      <c r="G12" s="13" t="str">
        <f aca="false">IF(F12&gt;=3,"Haute",IF(F12=2,"Moyenne",IF(F12=1,"Basse","Acquise")))</f>
        <v>Haute</v>
      </c>
      <c r="H12" s="14" t="s">
        <v>175</v>
      </c>
    </row>
    <row r="13" customFormat="false" ht="15" hidden="false" customHeight="false" outlineLevel="0" collapsed="false">
      <c r="A13" s="14" t="s">
        <v>29</v>
      </c>
      <c r="B13" s="10" t="s">
        <v>28</v>
      </c>
      <c r="C13" s="14" t="s">
        <v>168</v>
      </c>
      <c r="D13" s="17" t="n">
        <v>2</v>
      </c>
      <c r="E13" s="17" t="n">
        <v>4</v>
      </c>
      <c r="F13" s="13" t="n">
        <f aca="false">MAX(E13-D13,0)</f>
        <v>2</v>
      </c>
      <c r="G13" s="13" t="str">
        <f aca="false">IF(F13&gt;=3,"Haute",IF(F13=2,"Moyenne",IF(F13=1,"Basse","Acquise")))</f>
        <v>Moyenne</v>
      </c>
      <c r="H13" s="14" t="s">
        <v>176</v>
      </c>
    </row>
    <row r="14" customFormat="false" ht="15" hidden="false" customHeight="false" outlineLevel="0" collapsed="false">
      <c r="A14" s="14" t="s">
        <v>177</v>
      </c>
      <c r="B14" s="10" t="s">
        <v>30</v>
      </c>
      <c r="C14" s="14" t="s">
        <v>168</v>
      </c>
      <c r="D14" s="17" t="n">
        <v>1</v>
      </c>
      <c r="E14" s="17" t="n">
        <v>4</v>
      </c>
      <c r="F14" s="13" t="n">
        <f aca="false">MAX(E14-D14,0)</f>
        <v>3</v>
      </c>
      <c r="G14" s="13" t="str">
        <f aca="false">IF(F14&gt;=3,"Haute",IF(F14=2,"Moyenne",IF(F14=1,"Basse","Acquise")))</f>
        <v>Haute</v>
      </c>
      <c r="H14" s="14" t="s">
        <v>122</v>
      </c>
    </row>
    <row r="15" customFormat="false" ht="15" hidden="false" customHeight="false" outlineLevel="0" collapsed="false">
      <c r="A15" s="14" t="s">
        <v>178</v>
      </c>
      <c r="B15" s="10" t="s">
        <v>32</v>
      </c>
      <c r="C15" s="14" t="s">
        <v>168</v>
      </c>
      <c r="D15" s="17" t="n">
        <v>2</v>
      </c>
      <c r="E15" s="17" t="n">
        <v>4</v>
      </c>
      <c r="F15" s="13" t="n">
        <f aca="false">MAX(E15-D15,0)</f>
        <v>2</v>
      </c>
      <c r="G15" s="13" t="str">
        <f aca="false">IF(F15&gt;=3,"Haute",IF(F15=2,"Moyenne",IF(F15=1,"Basse","Acquise")))</f>
        <v>Moyenne</v>
      </c>
      <c r="H15" s="14" t="s">
        <v>179</v>
      </c>
    </row>
    <row r="16" customFormat="false" ht="15" hidden="false" customHeight="false" outlineLevel="0" collapsed="false">
      <c r="A16" s="14" t="s">
        <v>180</v>
      </c>
      <c r="B16" s="10" t="s">
        <v>34</v>
      </c>
      <c r="C16" s="14" t="s">
        <v>168</v>
      </c>
      <c r="D16" s="17" t="n">
        <v>2</v>
      </c>
      <c r="E16" s="17" t="n">
        <v>4</v>
      </c>
      <c r="F16" s="13" t="n">
        <f aca="false">MAX(E16-D16,0)</f>
        <v>2</v>
      </c>
      <c r="G16" s="13" t="str">
        <f aca="false">IF(F16&gt;=3,"Haute",IF(F16=2,"Moyenne",IF(F16=1,"Basse","Acquise")))</f>
        <v>Moyenne</v>
      </c>
      <c r="H16" s="14" t="s">
        <v>181</v>
      </c>
    </row>
    <row r="17" customFormat="false" ht="15" hidden="false" customHeight="false" outlineLevel="0" collapsed="false">
      <c r="A17" s="14" t="s">
        <v>182</v>
      </c>
      <c r="B17" s="10" t="s">
        <v>26</v>
      </c>
      <c r="C17" s="14" t="s">
        <v>168</v>
      </c>
      <c r="D17" s="17" t="n">
        <v>3</v>
      </c>
      <c r="E17" s="17" t="n">
        <v>5</v>
      </c>
      <c r="F17" s="13" t="n">
        <f aca="false">MAX(E17-D17,0)</f>
        <v>2</v>
      </c>
      <c r="G17" s="13" t="str">
        <f aca="false">IF(F17&gt;=3,"Haute",IF(F17=2,"Moyenne",IF(F17=1,"Basse","Acquise")))</f>
        <v>Moyenne</v>
      </c>
      <c r="H17" s="14" t="s">
        <v>183</v>
      </c>
    </row>
    <row r="18" customFormat="false" ht="15" hidden="false" customHeight="false" outlineLevel="0" collapsed="false">
      <c r="C18" s="19" t="s">
        <v>184</v>
      </c>
      <c r="D18" s="20" t="n">
        <f aca="false">AVERAGE(D5:D17)</f>
        <v>2</v>
      </c>
      <c r="E18" s="20" t="n">
        <f aca="false">AVERAGE(E5:E17)</f>
        <v>4.38461538461539</v>
      </c>
      <c r="F18" s="20" t="n">
        <f aca="false">AVERAGE(F5:F17)</f>
        <v>2.38461538461538</v>
      </c>
    </row>
  </sheetData>
  <conditionalFormatting sqref="G5:G17">
    <cfRule type="cellIs" priority="2" operator="equal" aboveAverage="0" equalAverage="0" bottom="0" percent="0" rank="0" text="" dxfId="8">
      <formula>"Haute"</formula>
    </cfRule>
    <cfRule type="cellIs" priority="3" operator="equal" aboveAverage="0" equalAverage="0" bottom="0" percent="0" rank="0" text="" dxfId="1">
      <formula>"Moyenne"</formula>
    </cfRule>
    <cfRule type="cellIs" priority="4" operator="equal" aboveAverage="0" equalAverage="0" bottom="0" percent="0" rank="0" text="" dxfId="0">
      <formula>"Acquise"</formula>
    </cfRule>
  </conditionalFormatting>
  <dataValidations count="1">
    <dataValidation allowBlank="false" errorStyle="stop" operator="between" showDropDown="false" showErrorMessage="false" showInputMessage="false" sqref="D5:E17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8"/>
    <col collapsed="false" customWidth="true" hidden="false" outlineLevel="0" max="4" min="3" style="0" width="16"/>
    <col collapsed="false" customWidth="true" hidden="false" outlineLevel="0" max="6" min="5" style="0" width="18"/>
    <col collapsed="false" customWidth="true" hidden="false" outlineLevel="0" max="7" min="7" style="0" width="16"/>
  </cols>
  <sheetData>
    <row r="1" customFormat="false" ht="19.7" hidden="false" customHeight="false" outlineLevel="0" collapsed="false">
      <c r="A1" s="1" t="s">
        <v>185</v>
      </c>
    </row>
    <row r="2" customFormat="false" ht="15" hidden="false" customHeight="false" outlineLevel="0" collapsed="false">
      <c r="A2" s="2" t="s">
        <v>186</v>
      </c>
    </row>
    <row r="4" customFormat="false" ht="15" hidden="false" customHeight="false" outlineLevel="0" collapsed="false">
      <c r="A4" s="3" t="s">
        <v>187</v>
      </c>
    </row>
    <row r="5" customFormat="false" ht="15" hidden="false" customHeight="false" outlineLevel="0" collapsed="false">
      <c r="A5" s="9" t="s">
        <v>44</v>
      </c>
      <c r="B5" s="9" t="s">
        <v>188</v>
      </c>
    </row>
    <row r="6" customFormat="false" ht="15" hidden="false" customHeight="false" outlineLevel="0" collapsed="false">
      <c r="A6" s="11" t="s">
        <v>189</v>
      </c>
      <c r="B6" s="22" t="n">
        <v>12000</v>
      </c>
    </row>
    <row r="7" customFormat="false" ht="15" hidden="false" customHeight="false" outlineLevel="0" collapsed="false">
      <c r="A7" s="11" t="s">
        <v>190</v>
      </c>
      <c r="B7" s="22" t="n">
        <v>2400</v>
      </c>
    </row>
    <row r="8" customFormat="false" ht="15" hidden="false" customHeight="false" outlineLevel="0" collapsed="false">
      <c r="A8" s="11" t="s">
        <v>191</v>
      </c>
      <c r="B8" s="22" t="n">
        <v>3600</v>
      </c>
    </row>
    <row r="9" customFormat="false" ht="15" hidden="false" customHeight="false" outlineLevel="0" collapsed="false">
      <c r="A9" s="11" t="s">
        <v>192</v>
      </c>
      <c r="B9" s="22" t="n">
        <v>1500</v>
      </c>
    </row>
    <row r="10" customFormat="false" ht="15" hidden="false" customHeight="false" outlineLevel="0" collapsed="false">
      <c r="A10" s="19" t="s">
        <v>193</v>
      </c>
      <c r="B10" s="23" t="n">
        <f aca="false">SUM(B6:B9)</f>
        <v>19500</v>
      </c>
    </row>
    <row r="12" customFormat="false" ht="15" hidden="false" customHeight="false" outlineLevel="0" collapsed="false">
      <c r="A12" s="3" t="s">
        <v>194</v>
      </c>
    </row>
    <row r="13" customFormat="false" ht="23.85" hidden="false" customHeight="false" outlineLevel="0" collapsed="false">
      <c r="A13" s="9" t="s">
        <v>44</v>
      </c>
      <c r="B13" s="9" t="s">
        <v>195</v>
      </c>
      <c r="C13" s="9" t="s">
        <v>196</v>
      </c>
      <c r="D13" s="9" t="s">
        <v>197</v>
      </c>
      <c r="E13" s="9" t="s">
        <v>198</v>
      </c>
      <c r="F13" s="9" t="s">
        <v>199</v>
      </c>
      <c r="G13" s="9" t="s">
        <v>200</v>
      </c>
    </row>
    <row r="14" customFormat="false" ht="15" hidden="false" customHeight="false" outlineLevel="0" collapsed="false">
      <c r="A14" s="11" t="s">
        <v>189</v>
      </c>
      <c r="B14" s="24" t="n">
        <v>0.25</v>
      </c>
      <c r="C14" s="24" t="n">
        <v>0.3</v>
      </c>
      <c r="D14" s="24" t="n">
        <v>0.25</v>
      </c>
      <c r="E14" s="24" t="n">
        <v>0.08</v>
      </c>
      <c r="F14" s="24" t="n">
        <v>0.12</v>
      </c>
      <c r="G14" s="25" t="n">
        <f aca="false">SUM(B14:F14)</f>
        <v>1</v>
      </c>
    </row>
    <row r="15" customFormat="false" ht="15" hidden="false" customHeight="false" outlineLevel="0" collapsed="false">
      <c r="A15" s="11" t="s">
        <v>190</v>
      </c>
      <c r="B15" s="24" t="n">
        <v>0.2</v>
      </c>
      <c r="C15" s="24" t="n">
        <v>0.3</v>
      </c>
      <c r="D15" s="24" t="n">
        <v>0.25</v>
      </c>
      <c r="E15" s="24" t="n">
        <v>0.05</v>
      </c>
      <c r="F15" s="24" t="n">
        <v>0.2</v>
      </c>
      <c r="G15" s="25" t="n">
        <f aca="false">SUM(B15:F15)</f>
        <v>1</v>
      </c>
    </row>
    <row r="16" customFormat="false" ht="15" hidden="false" customHeight="false" outlineLevel="0" collapsed="false">
      <c r="A16" s="11" t="s">
        <v>191</v>
      </c>
      <c r="B16" s="24" t="n">
        <v>0.15</v>
      </c>
      <c r="C16" s="24" t="n">
        <v>0.35</v>
      </c>
      <c r="D16" s="24" t="n">
        <v>0.25</v>
      </c>
      <c r="E16" s="24" t="n">
        <v>0.1</v>
      </c>
      <c r="F16" s="24" t="n">
        <v>0.15</v>
      </c>
      <c r="G16" s="25" t="n">
        <f aca="false">SUM(B16:F16)</f>
        <v>1</v>
      </c>
    </row>
    <row r="17" customFormat="false" ht="15" hidden="false" customHeight="false" outlineLevel="0" collapsed="false">
      <c r="A17" s="11" t="s">
        <v>192</v>
      </c>
      <c r="B17" s="24" t="n">
        <v>0.3</v>
      </c>
      <c r="C17" s="24" t="n">
        <v>0.2</v>
      </c>
      <c r="D17" s="24" t="n">
        <v>0.2</v>
      </c>
      <c r="E17" s="24" t="n">
        <v>0.2</v>
      </c>
      <c r="F17" s="24" t="n">
        <v>0.1</v>
      </c>
      <c r="G17" s="25" t="n">
        <f aca="false">SUM(B17:F17)</f>
        <v>1</v>
      </c>
    </row>
    <row r="18" customFormat="false" ht="15" hidden="false" customHeight="false" outlineLevel="0" collapsed="false">
      <c r="A18" s="19" t="s">
        <v>201</v>
      </c>
      <c r="B18" s="23" t="n">
        <f aca="false">SUMPRODUCT($B$6:$B$9,B14:B17)</f>
        <v>4470</v>
      </c>
      <c r="C18" s="23" t="n">
        <f aca="false">SUMPRODUCT($B$6:$B$9,C14:C17)</f>
        <v>5880</v>
      </c>
      <c r="D18" s="23" t="n">
        <f aca="false">SUMPRODUCT($B$6:$B$9,D14:D17)</f>
        <v>4800</v>
      </c>
      <c r="E18" s="23" t="n">
        <f aca="false">SUMPRODUCT($B$6:$B$9,E14:E17)</f>
        <v>1740</v>
      </c>
      <c r="F18" s="23" t="n">
        <f aca="false">SUMPRODUCT($B$6:$B$9,F14:F17)</f>
        <v>2610</v>
      </c>
      <c r="G18" s="23" t="n">
        <f aca="false">SUM(B18:F18)</f>
        <v>19500</v>
      </c>
    </row>
    <row r="19" customFormat="false" ht="15" hidden="false" customHeight="false" outlineLevel="0" collapsed="false">
      <c r="A19" s="11" t="s">
        <v>202</v>
      </c>
      <c r="B19" s="17" t="s">
        <v>203</v>
      </c>
      <c r="C19" s="17" t="s">
        <v>203</v>
      </c>
      <c r="D19" s="17" t="s">
        <v>203</v>
      </c>
      <c r="E19" s="17" t="s">
        <v>203</v>
      </c>
      <c r="F19" s="17" t="s">
        <v>204</v>
      </c>
    </row>
    <row r="21" customFormat="false" ht="15" hidden="false" customHeight="false" outlineLevel="0" collapsed="false">
      <c r="A21" s="3" t="s">
        <v>205</v>
      </c>
    </row>
    <row r="22" customFormat="false" ht="15" hidden="false" customHeight="false" outlineLevel="0" collapsed="false">
      <c r="A22" s="9" t="s">
        <v>206</v>
      </c>
      <c r="B22" s="9" t="s">
        <v>207</v>
      </c>
      <c r="C22" s="9" t="s">
        <v>208</v>
      </c>
      <c r="D22" s="9" t="s">
        <v>209</v>
      </c>
      <c r="E22" s="9" t="s">
        <v>210</v>
      </c>
      <c r="F22" s="9" t="s">
        <v>211</v>
      </c>
      <c r="G22" s="9" t="s">
        <v>212</v>
      </c>
    </row>
    <row r="23" customFormat="false" ht="15" hidden="false" customHeight="false" outlineLevel="0" collapsed="false">
      <c r="A23" s="11" t="s">
        <v>195</v>
      </c>
      <c r="B23" s="11" t="s">
        <v>213</v>
      </c>
      <c r="C23" s="22" t="n">
        <v>8000</v>
      </c>
      <c r="D23" s="22" t="n">
        <v>5000</v>
      </c>
      <c r="E23" s="22" t="n">
        <v>3000</v>
      </c>
      <c r="F23" s="26" t="n">
        <f aca="false">SUM(C23:E23)</f>
        <v>16000</v>
      </c>
      <c r="G23" s="27" t="n">
        <f aca="false">IFERROR(B$18/F23,0)</f>
        <v>0.279375</v>
      </c>
    </row>
    <row r="24" customFormat="false" ht="15" hidden="false" customHeight="false" outlineLevel="0" collapsed="false">
      <c r="A24" s="11" t="s">
        <v>196</v>
      </c>
      <c r="B24" s="11" t="s">
        <v>214</v>
      </c>
      <c r="C24" s="22" t="n">
        <v>120000</v>
      </c>
      <c r="D24" s="22" t="n">
        <v>60000</v>
      </c>
      <c r="E24" s="22" t="n">
        <v>40000</v>
      </c>
      <c r="F24" s="26" t="n">
        <f aca="false">SUM(C24:E24)</f>
        <v>220000</v>
      </c>
      <c r="G24" s="27" t="n">
        <f aca="false">IFERROR(C$18/F24,0)</f>
        <v>0.0267272727272727</v>
      </c>
    </row>
    <row r="25" customFormat="false" ht="15" hidden="false" customHeight="false" outlineLevel="0" collapsed="false">
      <c r="A25" s="11" t="s">
        <v>197</v>
      </c>
      <c r="B25" s="11" t="s">
        <v>215</v>
      </c>
      <c r="C25" s="22" t="n">
        <v>15000</v>
      </c>
      <c r="D25" s="22" t="n">
        <v>9000</v>
      </c>
      <c r="E25" s="22" t="n">
        <v>6000</v>
      </c>
      <c r="F25" s="26" t="n">
        <f aca="false">SUM(C25:E25)</f>
        <v>30000</v>
      </c>
      <c r="G25" s="27" t="n">
        <f aca="false">IFERROR(D$18/F25,0)</f>
        <v>0.16</v>
      </c>
    </row>
    <row r="26" customFormat="false" ht="15" hidden="false" customHeight="false" outlineLevel="0" collapsed="false">
      <c r="A26" s="11" t="s">
        <v>198</v>
      </c>
      <c r="B26" s="11" t="s">
        <v>216</v>
      </c>
      <c r="C26" s="22" t="n">
        <v>9000</v>
      </c>
      <c r="D26" s="22" t="n">
        <v>500</v>
      </c>
      <c r="E26" s="22" t="n">
        <v>3500</v>
      </c>
      <c r="F26" s="26" t="n">
        <f aca="false">SUM(C26:E26)</f>
        <v>13000</v>
      </c>
      <c r="G26" s="27" t="n">
        <f aca="false">IFERROR(E$18/F26,0)</f>
        <v>0.133846153846154</v>
      </c>
    </row>
    <row r="27" customFormat="false" ht="15" hidden="false" customHeight="false" outlineLevel="0" collapsed="false">
      <c r="A27" s="11" t="s">
        <v>199</v>
      </c>
      <c r="B27" s="11" t="s">
        <v>214</v>
      </c>
      <c r="C27" s="22" t="n">
        <v>120000</v>
      </c>
      <c r="D27" s="22" t="n">
        <v>60000</v>
      </c>
      <c r="E27" s="22" t="n">
        <v>40000</v>
      </c>
      <c r="F27" s="26" t="n">
        <f aca="false">SUM(C27:E27)</f>
        <v>220000</v>
      </c>
      <c r="G27" s="27" t="n">
        <f aca="false">IFERROR(F$18/F27,0)</f>
        <v>0.0118636363636364</v>
      </c>
    </row>
    <row r="29" customFormat="false" ht="15" hidden="false" customHeight="false" outlineLevel="0" collapsed="false">
      <c r="A29" s="3" t="s">
        <v>217</v>
      </c>
    </row>
    <row r="30" customFormat="false" ht="15" hidden="false" customHeight="false" outlineLevel="0" collapsed="false">
      <c r="A30" s="9" t="s">
        <v>206</v>
      </c>
      <c r="B30" s="9" t="s">
        <v>218</v>
      </c>
      <c r="C30" s="9" t="s">
        <v>208</v>
      </c>
      <c r="D30" s="9" t="s">
        <v>209</v>
      </c>
      <c r="E30" s="9" t="s">
        <v>210</v>
      </c>
      <c r="F30" s="9" t="s">
        <v>219</v>
      </c>
    </row>
    <row r="31" customFormat="false" ht="15" hidden="false" customHeight="false" outlineLevel="0" collapsed="false">
      <c r="A31" s="11" t="str">
        <f aca="false">A23</f>
        <v>Acquisition</v>
      </c>
      <c r="B31" s="13" t="str">
        <f aca="false">B19</f>
        <v>Oui</v>
      </c>
      <c r="C31" s="26" t="n">
        <f aca="false">C23*$G23</f>
        <v>2235</v>
      </c>
      <c r="D31" s="26" t="n">
        <f aca="false">D23*$G23</f>
        <v>1396.875</v>
      </c>
      <c r="E31" s="26" t="n">
        <f aca="false">E23*$G23</f>
        <v>838.125</v>
      </c>
      <c r="F31" s="26" t="n">
        <f aca="false">SUM(C31:E31)</f>
        <v>4470</v>
      </c>
    </row>
    <row r="32" customFormat="false" ht="15" hidden="false" customHeight="false" outlineLevel="0" collapsed="false">
      <c r="A32" s="11" t="str">
        <f aca="false">A24</f>
        <v>Gestion des contrats</v>
      </c>
      <c r="B32" s="13" t="str">
        <f aca="false">C19</f>
        <v>Oui</v>
      </c>
      <c r="C32" s="26" t="n">
        <f aca="false">C24*$G24</f>
        <v>3207.27272727273</v>
      </c>
      <c r="D32" s="26" t="n">
        <f aca="false">D24*$G24</f>
        <v>1603.63636363636</v>
      </c>
      <c r="E32" s="26" t="n">
        <f aca="false">E24*$G24</f>
        <v>1069.09090909091</v>
      </c>
      <c r="F32" s="26" t="n">
        <f aca="false">SUM(C32:E32)</f>
        <v>5880</v>
      </c>
    </row>
    <row r="33" customFormat="false" ht="15" hidden="false" customHeight="false" outlineLevel="0" collapsed="false">
      <c r="A33" s="11" t="str">
        <f aca="false">A25</f>
        <v>Prestations / sinistres</v>
      </c>
      <c r="B33" s="13" t="str">
        <f aca="false">D19</f>
        <v>Oui</v>
      </c>
      <c r="C33" s="26" t="n">
        <f aca="false">C25*$G25</f>
        <v>2400</v>
      </c>
      <c r="D33" s="26" t="n">
        <f aca="false">D25*$G25</f>
        <v>1440</v>
      </c>
      <c r="E33" s="26" t="n">
        <f aca="false">E25*$G25</f>
        <v>960</v>
      </c>
      <c r="F33" s="26" t="n">
        <f aca="false">SUM(C33:E33)</f>
        <v>4800</v>
      </c>
    </row>
    <row r="34" customFormat="false" ht="15" hidden="false" customHeight="false" outlineLevel="0" collapsed="false">
      <c r="A34" s="11" t="str">
        <f aca="false">A26</f>
        <v>Gestion des placements</v>
      </c>
      <c r="B34" s="13" t="str">
        <f aca="false">E19</f>
        <v>Oui</v>
      </c>
      <c r="C34" s="26" t="n">
        <f aca="false">C26*$G26</f>
        <v>1204.61538461538</v>
      </c>
      <c r="D34" s="26" t="n">
        <f aca="false">D26*$G26</f>
        <v>66.9230769230769</v>
      </c>
      <c r="E34" s="26" t="n">
        <f aca="false">E26*$G26</f>
        <v>468.461538461538</v>
      </c>
      <c r="F34" s="26" t="n">
        <f aca="false">SUM(C34:E34)</f>
        <v>1740</v>
      </c>
    </row>
    <row r="35" customFormat="false" ht="15" hidden="false" customHeight="false" outlineLevel="0" collapsed="false">
      <c r="A35" s="11" t="str">
        <f aca="false">A27</f>
        <v>Fonctions support</v>
      </c>
      <c r="B35" s="13" t="str">
        <f aca="false">F19</f>
        <v>Non</v>
      </c>
      <c r="C35" s="26" t="n">
        <f aca="false">C27*$G27</f>
        <v>1423.63636363636</v>
      </c>
      <c r="D35" s="26" t="n">
        <f aca="false">D27*$G27</f>
        <v>711.818181818182</v>
      </c>
      <c r="E35" s="26" t="n">
        <f aca="false">E27*$G27</f>
        <v>474.545454545455</v>
      </c>
      <c r="F35" s="26" t="n">
        <f aca="false">SUM(C35:E35)</f>
        <v>2610</v>
      </c>
    </row>
    <row r="36" customFormat="false" ht="15" hidden="false" customHeight="false" outlineLevel="0" collapsed="false">
      <c r="A36" s="19" t="s">
        <v>220</v>
      </c>
      <c r="B36" s="28"/>
      <c r="C36" s="23" t="n">
        <f aca="false">SUM(C31:C35)</f>
        <v>10470.5244755245</v>
      </c>
      <c r="D36" s="23" t="n">
        <f aca="false">SUM(D31:D35)</f>
        <v>5219.25262237762</v>
      </c>
      <c r="E36" s="23" t="n">
        <f aca="false">SUM(E31:E35)</f>
        <v>3810.2229020979</v>
      </c>
      <c r="F36" s="23" t="n">
        <f aca="false">SUM(F31:F35)</f>
        <v>19500</v>
      </c>
    </row>
    <row r="37" customFormat="false" ht="15" hidden="false" customHeight="false" outlineLevel="0" collapsed="false">
      <c r="A37" s="4" t="s">
        <v>221</v>
      </c>
      <c r="B37" s="11"/>
      <c r="C37" s="26" t="n">
        <f aca="false">SUMIFS(C31:C35,$B$31:$B$35,"Oui")</f>
        <v>9046.88811188811</v>
      </c>
      <c r="D37" s="26" t="n">
        <f aca="false">SUMIFS(D31:D35,$B$31:$B$35,"Oui")</f>
        <v>4507.43444055944</v>
      </c>
      <c r="E37" s="26" t="n">
        <f aca="false">SUMIFS(E31:E35,$B$31:$B$35,"Oui")</f>
        <v>3335.67744755245</v>
      </c>
      <c r="F37" s="26" t="n">
        <f aca="false">SUMIFS(F31:F35,$B$31:$B$35,"Oui")</f>
        <v>16890</v>
      </c>
    </row>
    <row r="38" customFormat="false" ht="15" hidden="false" customHeight="false" outlineLevel="0" collapsed="false">
      <c r="A38" s="4" t="s">
        <v>222</v>
      </c>
      <c r="B38" s="11"/>
      <c r="C38" s="26" t="n">
        <f aca="false">C36-C37</f>
        <v>1423.63636363636</v>
      </c>
      <c r="D38" s="26" t="n">
        <f aca="false">D36-D37</f>
        <v>711.818181818182</v>
      </c>
      <c r="E38" s="26" t="n">
        <f aca="false">E36-E37</f>
        <v>474.545454545455</v>
      </c>
      <c r="F38" s="26" t="n">
        <f aca="false">F36-F37</f>
        <v>2610</v>
      </c>
    </row>
    <row r="39" customFormat="false" ht="15" hidden="false" customHeight="false" outlineLevel="0" collapsed="false">
      <c r="A39" s="4" t="s">
        <v>223</v>
      </c>
      <c r="B39" s="11"/>
      <c r="C39" s="25" t="n">
        <f aca="false">IFERROR(C37/C36,0)</f>
        <v>0.864033901361464</v>
      </c>
      <c r="D39" s="25" t="n">
        <f aca="false">IFERROR(D37/D36,0)</f>
        <v>0.863616836869277</v>
      </c>
      <c r="E39" s="25" t="n">
        <f aca="false">IFERROR(E37/E36,0)</f>
        <v>0.875454673718913</v>
      </c>
      <c r="F39" s="25" t="n">
        <f aca="false">IFERROR(F37/F36,0)</f>
        <v>0.866153846153846</v>
      </c>
    </row>
    <row r="41" customFormat="false" ht="15" hidden="false" customHeight="false" outlineLevel="0" collapsed="false">
      <c r="A41" s="4" t="s">
        <v>224</v>
      </c>
      <c r="F41" s="29" t="n">
        <f aca="false">ROUND(F36-B10,2)</f>
        <v>0</v>
      </c>
    </row>
    <row r="43" customFormat="false" ht="15" hidden="false" customHeight="false" outlineLevel="0" collapsed="false">
      <c r="A43" s="2" t="s">
        <v>225</v>
      </c>
    </row>
  </sheetData>
  <conditionalFormatting sqref="G14:G17">
    <cfRule type="cellIs" priority="2" operator="notEqual" aboveAverage="0" equalAverage="0" bottom="0" percent="0" rank="0" text="" dxfId="8">
      <formula>1</formula>
    </cfRule>
  </conditionalFormatting>
  <conditionalFormatting sqref="F41">
    <cfRule type="cellIs" priority="3" operator="notEqual" aboveAverage="0" equalAverage="0" bottom="0" percent="0" rank="0" text="" dxfId="8">
      <formula>0</formula>
    </cfRule>
  </conditionalFormatting>
  <dataValidations count="1">
    <dataValidation allowBlank="false" errorStyle="stop" operator="between" showDropDown="false" showErrorMessage="false" showInputMessage="false" sqref="B19:F19" type="list">
      <formula1>"Oui,Non"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52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8" min="6" style="0" width="12"/>
  </cols>
  <sheetData>
    <row r="1" customFormat="false" ht="19.7" hidden="false" customHeight="false" outlineLevel="0" collapsed="false">
      <c r="A1" s="1" t="s">
        <v>226</v>
      </c>
    </row>
    <row r="2" customFormat="false" ht="15" hidden="false" customHeight="false" outlineLevel="0" collapsed="false">
      <c r="A2" s="2" t="s">
        <v>227</v>
      </c>
    </row>
    <row r="4" customFormat="false" ht="15" hidden="false" customHeight="false" outlineLevel="0" collapsed="false">
      <c r="A4" s="9" t="s">
        <v>228</v>
      </c>
      <c r="B4" s="9" t="s">
        <v>229</v>
      </c>
      <c r="C4" s="9" t="s">
        <v>230</v>
      </c>
      <c r="D4" s="9" t="s">
        <v>231</v>
      </c>
    </row>
    <row r="5" customFormat="false" ht="15" hidden="false" customHeight="false" outlineLevel="0" collapsed="false">
      <c r="A5" s="11" t="s">
        <v>232</v>
      </c>
      <c r="B5" s="30" t="n">
        <v>120</v>
      </c>
      <c r="C5" s="30" t="n">
        <v>126</v>
      </c>
      <c r="D5" s="31" t="n">
        <f aca="false">C5-B5</f>
        <v>6</v>
      </c>
    </row>
    <row r="6" customFormat="false" ht="15" hidden="false" customHeight="false" outlineLevel="0" collapsed="false">
      <c r="A6" s="11" t="s">
        <v>233</v>
      </c>
      <c r="B6" s="30" t="n">
        <v>68</v>
      </c>
      <c r="C6" s="30" t="n">
        <v>70</v>
      </c>
      <c r="D6" s="31" t="n">
        <f aca="false">C6-B6</f>
        <v>2</v>
      </c>
    </row>
    <row r="7" customFormat="false" ht="15" hidden="false" customHeight="false" outlineLevel="0" collapsed="false">
      <c r="A7" s="11" t="s">
        <v>234</v>
      </c>
      <c r="B7" s="22" t="n">
        <v>3400</v>
      </c>
      <c r="C7" s="22" t="n">
        <v>3750</v>
      </c>
      <c r="D7" s="26" t="n">
        <f aca="false">C7-B7</f>
        <v>350</v>
      </c>
    </row>
    <row r="8" customFormat="false" ht="15" hidden="false" customHeight="false" outlineLevel="0" collapsed="false">
      <c r="A8" s="11" t="s">
        <v>235</v>
      </c>
      <c r="B8" s="22" t="n">
        <v>1900</v>
      </c>
      <c r="C8" s="22" t="n">
        <v>1820</v>
      </c>
      <c r="D8" s="26" t="n">
        <f aca="false">C8-B8</f>
        <v>-80</v>
      </c>
    </row>
    <row r="9" customFormat="false" ht="15" hidden="false" customHeight="false" outlineLevel="0" collapsed="false">
      <c r="A9" s="11" t="s">
        <v>236</v>
      </c>
      <c r="B9" s="22" t="n">
        <v>0</v>
      </c>
      <c r="C9" s="22" t="n">
        <v>250</v>
      </c>
      <c r="D9" s="26" t="n">
        <f aca="false">C9-B9</f>
        <v>250</v>
      </c>
    </row>
    <row r="10" customFormat="false" ht="15" hidden="false" customHeight="false" outlineLevel="0" collapsed="false">
      <c r="A10" s="19" t="s">
        <v>237</v>
      </c>
      <c r="B10" s="23" t="n">
        <f aca="false">B5*B6+B7+B8+B9</f>
        <v>13460</v>
      </c>
      <c r="C10" s="23" t="n">
        <f aca="false">C5*C6+C7+C8+C9</f>
        <v>14640</v>
      </c>
      <c r="D10" s="23" t="n">
        <f aca="false">C10-B10</f>
        <v>1180</v>
      </c>
    </row>
    <row r="12" customFormat="false" ht="23.85" hidden="false" customHeight="false" outlineLevel="0" collapsed="false">
      <c r="A12" s="9" t="s">
        <v>238</v>
      </c>
      <c r="B12" s="9" t="s">
        <v>188</v>
      </c>
      <c r="C12" s="9" t="s">
        <v>239</v>
      </c>
      <c r="D12" s="9" t="s">
        <v>240</v>
      </c>
      <c r="E12" s="9" t="s">
        <v>241</v>
      </c>
      <c r="F12" s="9" t="s">
        <v>219</v>
      </c>
      <c r="G12" s="9" t="s">
        <v>242</v>
      </c>
      <c r="H12" s="9" t="s">
        <v>243</v>
      </c>
    </row>
    <row r="13" customFormat="false" ht="15" hidden="false" customHeight="false" outlineLevel="0" collapsed="false">
      <c r="A13" s="4" t="s">
        <v>244</v>
      </c>
      <c r="B13" s="29" t="n">
        <f aca="false">B10</f>
        <v>13460</v>
      </c>
      <c r="C13" s="18"/>
      <c r="D13" s="26" t="n">
        <f aca="false">B13</f>
        <v>13460</v>
      </c>
      <c r="E13" s="26" t="n">
        <v>0</v>
      </c>
      <c r="F13" s="26" t="n">
        <f aca="false">B13</f>
        <v>13460</v>
      </c>
      <c r="G13" s="26" t="n">
        <v>0</v>
      </c>
      <c r="H13" s="26" t="n">
        <v>0</v>
      </c>
    </row>
    <row r="14" customFormat="false" ht="15" hidden="false" customHeight="false" outlineLevel="0" collapsed="false">
      <c r="A14" s="11" t="s">
        <v>245</v>
      </c>
      <c r="B14" s="26" t="n">
        <f aca="false">(C5-B5)*B6</f>
        <v>408</v>
      </c>
      <c r="C14" s="18" t="s">
        <v>246</v>
      </c>
      <c r="D14" s="26" t="n">
        <f aca="false">D13+B14</f>
        <v>13868</v>
      </c>
      <c r="E14" s="26" t="n">
        <f aca="false">MIN(D13,D14)</f>
        <v>13460</v>
      </c>
      <c r="F14" s="26" t="n">
        <v>0</v>
      </c>
      <c r="G14" s="26" t="n">
        <f aca="false">MAX(B14,0)</f>
        <v>408</v>
      </c>
      <c r="H14" s="26" t="n">
        <f aca="false">MAX(-B14,0)</f>
        <v>0</v>
      </c>
    </row>
    <row r="15" customFormat="false" ht="15" hidden="false" customHeight="false" outlineLevel="0" collapsed="false">
      <c r="A15" s="11" t="s">
        <v>247</v>
      </c>
      <c r="B15" s="26" t="n">
        <f aca="false">(C6-B6)*C5</f>
        <v>252</v>
      </c>
      <c r="C15" s="18"/>
      <c r="D15" s="26" t="n">
        <f aca="false">D14+B15</f>
        <v>14120</v>
      </c>
      <c r="E15" s="26" t="n">
        <f aca="false">MIN(D14,D15)</f>
        <v>13868</v>
      </c>
      <c r="F15" s="26" t="n">
        <v>0</v>
      </c>
      <c r="G15" s="26" t="n">
        <f aca="false">MAX(B15,0)</f>
        <v>252</v>
      </c>
      <c r="H15" s="26" t="n">
        <f aca="false">MAX(-B15,0)</f>
        <v>0</v>
      </c>
    </row>
    <row r="16" customFormat="false" ht="15" hidden="false" customHeight="false" outlineLevel="0" collapsed="false">
      <c r="A16" s="11" t="s">
        <v>248</v>
      </c>
      <c r="B16" s="26" t="n">
        <f aca="false">C7-B7</f>
        <v>350</v>
      </c>
      <c r="C16" s="18"/>
      <c r="D16" s="26" t="n">
        <f aca="false">D15+B16</f>
        <v>14470</v>
      </c>
      <c r="E16" s="26" t="n">
        <f aca="false">MIN(D15,D16)</f>
        <v>14120</v>
      </c>
      <c r="F16" s="26" t="n">
        <v>0</v>
      </c>
      <c r="G16" s="26" t="n">
        <f aca="false">MAX(B16,0)</f>
        <v>350</v>
      </c>
      <c r="H16" s="26" t="n">
        <f aca="false">MAX(-B16,0)</f>
        <v>0</v>
      </c>
    </row>
    <row r="17" customFormat="false" ht="15" hidden="false" customHeight="false" outlineLevel="0" collapsed="false">
      <c r="A17" s="11" t="s">
        <v>249</v>
      </c>
      <c r="B17" s="26" t="n">
        <f aca="false">C8-B8</f>
        <v>-80</v>
      </c>
      <c r="C17" s="18"/>
      <c r="D17" s="26" t="n">
        <f aca="false">D16+B17</f>
        <v>14390</v>
      </c>
      <c r="E17" s="26" t="n">
        <f aca="false">MIN(D16,D17)</f>
        <v>14390</v>
      </c>
      <c r="F17" s="26" t="n">
        <v>0</v>
      </c>
      <c r="G17" s="26" t="n">
        <f aca="false">MAX(B17,0)</f>
        <v>0</v>
      </c>
      <c r="H17" s="26" t="n">
        <f aca="false">MAX(-B17,0)</f>
        <v>80</v>
      </c>
    </row>
    <row r="18" customFormat="false" ht="15" hidden="false" customHeight="false" outlineLevel="0" collapsed="false">
      <c r="A18" s="11" t="s">
        <v>250</v>
      </c>
      <c r="B18" s="26" t="n">
        <f aca="false">C9-B9</f>
        <v>250</v>
      </c>
      <c r="C18" s="18"/>
      <c r="D18" s="26" t="n">
        <f aca="false">D17+B18</f>
        <v>14640</v>
      </c>
      <c r="E18" s="26" t="n">
        <f aca="false">MIN(D17,D18)</f>
        <v>14390</v>
      </c>
      <c r="F18" s="26" t="n">
        <v>0</v>
      </c>
      <c r="G18" s="26" t="n">
        <f aca="false">MAX(B18,0)</f>
        <v>250</v>
      </c>
      <c r="H18" s="26" t="n">
        <f aca="false">MAX(-B18,0)</f>
        <v>0</v>
      </c>
    </row>
    <row r="19" customFormat="false" ht="15" hidden="false" customHeight="false" outlineLevel="0" collapsed="false">
      <c r="A19" s="4" t="s">
        <v>251</v>
      </c>
      <c r="B19" s="29" t="n">
        <f aca="false">D18</f>
        <v>14640</v>
      </c>
      <c r="C19" s="18"/>
      <c r="D19" s="26" t="n">
        <f aca="false">B19</f>
        <v>14640</v>
      </c>
      <c r="E19" s="26" t="n">
        <v>0</v>
      </c>
      <c r="F19" s="26" t="n">
        <f aca="false">B19</f>
        <v>14640</v>
      </c>
      <c r="G19" s="26" t="n">
        <v>0</v>
      </c>
      <c r="H19" s="26" t="n">
        <v>0</v>
      </c>
    </row>
    <row r="20" customFormat="false" ht="15" hidden="false" customHeight="false" outlineLevel="0" collapsed="false">
      <c r="A20" s="4" t="s">
        <v>252</v>
      </c>
      <c r="B20" s="29" t="n">
        <f aca="false">ROUND(B19-C10,2)</f>
        <v>0</v>
      </c>
    </row>
    <row r="22" customFormat="false" ht="15" hidden="false" customHeight="false" outlineLevel="0" collapsed="false">
      <c r="A22" s="2" t="s">
        <v>253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16"/>
  </cols>
  <sheetData>
    <row r="1" customFormat="false" ht="19.7" hidden="false" customHeight="false" outlineLevel="0" collapsed="false">
      <c r="A1" s="1" t="s">
        <v>254</v>
      </c>
    </row>
    <row r="2" customFormat="false" ht="15" hidden="false" customHeight="false" outlineLevel="0" collapsed="false">
      <c r="A2" s="2" t="s">
        <v>255</v>
      </c>
    </row>
    <row r="4" customFormat="false" ht="15" hidden="false" customHeight="false" outlineLevel="0" collapsed="false">
      <c r="A4" s="9" t="s">
        <v>256</v>
      </c>
      <c r="B4" s="9" t="s">
        <v>257</v>
      </c>
      <c r="C4" s="9" t="s">
        <v>258</v>
      </c>
      <c r="D4" s="9" t="s">
        <v>259</v>
      </c>
    </row>
    <row r="5" customFormat="false" ht="15" hidden="false" customHeight="false" outlineLevel="0" collapsed="false">
      <c r="A5" s="11" t="s">
        <v>191</v>
      </c>
      <c r="B5" s="22" t="n">
        <v>4000</v>
      </c>
      <c r="C5" s="11" t="s">
        <v>260</v>
      </c>
      <c r="D5" s="24" t="n">
        <v>0.05</v>
      </c>
    </row>
    <row r="6" customFormat="false" ht="15" hidden="false" customHeight="false" outlineLevel="0" collapsed="false">
      <c r="A6" s="11" t="s">
        <v>261</v>
      </c>
      <c r="B6" s="22" t="n">
        <v>1200</v>
      </c>
      <c r="C6" s="11" t="s">
        <v>262</v>
      </c>
      <c r="D6" s="24" t="n">
        <v>0.05</v>
      </c>
    </row>
    <row r="7" customFormat="false" ht="15" hidden="false" customHeight="false" outlineLevel="0" collapsed="false">
      <c r="A7" s="11" t="s">
        <v>263</v>
      </c>
      <c r="B7" s="22" t="n">
        <v>900</v>
      </c>
      <c r="C7" s="11" t="s">
        <v>264</v>
      </c>
      <c r="D7" s="24" t="n">
        <v>0.05</v>
      </c>
    </row>
    <row r="8" customFormat="false" ht="15" hidden="false" customHeight="false" outlineLevel="0" collapsed="false">
      <c r="A8" s="11" t="s">
        <v>265</v>
      </c>
      <c r="B8" s="22" t="n">
        <v>500</v>
      </c>
      <c r="C8" s="11" t="s">
        <v>266</v>
      </c>
      <c r="D8" s="24" t="n">
        <v>0.05</v>
      </c>
    </row>
    <row r="10" customFormat="false" ht="15" hidden="false" customHeight="false" outlineLevel="0" collapsed="false">
      <c r="A10" s="9" t="s">
        <v>267</v>
      </c>
      <c r="B10" s="9" t="s">
        <v>268</v>
      </c>
      <c r="C10" s="9" t="s">
        <v>269</v>
      </c>
      <c r="D10" s="9" t="s">
        <v>270</v>
      </c>
      <c r="E10" s="9" t="s">
        <v>271</v>
      </c>
    </row>
    <row r="11" customFormat="false" ht="15" hidden="false" customHeight="false" outlineLevel="0" collapsed="false">
      <c r="A11" s="11" t="s">
        <v>191</v>
      </c>
      <c r="B11" s="22" t="n">
        <v>600</v>
      </c>
      <c r="C11" s="22" t="n">
        <v>300</v>
      </c>
      <c r="D11" s="22" t="n">
        <v>100</v>
      </c>
      <c r="E11" s="26" t="n">
        <f aca="false">SUM(B11:D11)</f>
        <v>1000</v>
      </c>
    </row>
    <row r="12" customFormat="false" ht="15" hidden="false" customHeight="false" outlineLevel="0" collapsed="false">
      <c r="A12" s="11" t="s">
        <v>261</v>
      </c>
      <c r="B12" s="22" t="n">
        <v>700</v>
      </c>
      <c r="C12" s="22" t="n">
        <v>350</v>
      </c>
      <c r="D12" s="22" t="n">
        <v>150</v>
      </c>
      <c r="E12" s="26" t="n">
        <f aca="false">SUM(B12:D12)</f>
        <v>1200</v>
      </c>
    </row>
    <row r="13" customFormat="false" ht="15" hidden="false" customHeight="false" outlineLevel="0" collapsed="false">
      <c r="A13" s="11" t="s">
        <v>263</v>
      </c>
      <c r="B13" s="22" t="n">
        <v>50000</v>
      </c>
      <c r="C13" s="22" t="n">
        <v>20000</v>
      </c>
      <c r="D13" s="22" t="n">
        <v>10000</v>
      </c>
      <c r="E13" s="26" t="n">
        <f aca="false">SUM(B13:D13)</f>
        <v>80000</v>
      </c>
    </row>
    <row r="14" customFormat="false" ht="15" hidden="false" customHeight="false" outlineLevel="0" collapsed="false">
      <c r="A14" s="11" t="s">
        <v>265</v>
      </c>
      <c r="B14" s="22" t="n">
        <v>400</v>
      </c>
      <c r="C14" s="22" t="n">
        <v>250</v>
      </c>
      <c r="D14" s="22" t="n">
        <v>350</v>
      </c>
      <c r="E14" s="26" t="n">
        <f aca="false">SUM(B14:D14)</f>
        <v>1000</v>
      </c>
    </row>
    <row r="16" customFormat="false" ht="15" hidden="false" customHeight="false" outlineLevel="0" collapsed="false">
      <c r="A16" s="9" t="s">
        <v>272</v>
      </c>
      <c r="B16" s="9" t="s">
        <v>268</v>
      </c>
      <c r="C16" s="9" t="s">
        <v>269</v>
      </c>
      <c r="D16" s="9" t="s">
        <v>270</v>
      </c>
      <c r="E16" s="9" t="s">
        <v>273</v>
      </c>
    </row>
    <row r="17" customFormat="false" ht="15" hidden="false" customHeight="false" outlineLevel="0" collapsed="false">
      <c r="A17" s="11" t="s">
        <v>191</v>
      </c>
      <c r="B17" s="26" t="n">
        <f aca="false">IFERROR($B5*(1+$D5)*B11/$E11,0)</f>
        <v>2520</v>
      </c>
      <c r="C17" s="26" t="n">
        <f aca="false">IFERROR($B5*(1+$D5)*C11/$E11,0)</f>
        <v>1260</v>
      </c>
      <c r="D17" s="26" t="n">
        <f aca="false">IFERROR($B5*(1+$D5)*D11/$E11,0)</f>
        <v>420</v>
      </c>
      <c r="E17" s="26" t="n">
        <f aca="false">SUM(B17:D17)</f>
        <v>4200</v>
      </c>
    </row>
    <row r="18" customFormat="false" ht="15" hidden="false" customHeight="false" outlineLevel="0" collapsed="false">
      <c r="A18" s="11" t="s">
        <v>261</v>
      </c>
      <c r="B18" s="26" t="n">
        <f aca="false">IFERROR($B6*(1+$D6)*B12/$E12,0)</f>
        <v>735</v>
      </c>
      <c r="C18" s="26" t="n">
        <f aca="false">IFERROR($B6*(1+$D6)*C12/$E12,0)</f>
        <v>367.5</v>
      </c>
      <c r="D18" s="26" t="n">
        <f aca="false">IFERROR($B6*(1+$D6)*D12/$E12,0)</f>
        <v>157.5</v>
      </c>
      <c r="E18" s="26" t="n">
        <f aca="false">SUM(B18:D18)</f>
        <v>1260</v>
      </c>
    </row>
    <row r="19" customFormat="false" ht="15" hidden="false" customHeight="false" outlineLevel="0" collapsed="false">
      <c r="A19" s="11" t="s">
        <v>263</v>
      </c>
      <c r="B19" s="26" t="n">
        <f aca="false">IFERROR($B7*(1+$D7)*B13/$E13,0)</f>
        <v>590.625</v>
      </c>
      <c r="C19" s="26" t="n">
        <f aca="false">IFERROR($B7*(1+$D7)*C13/$E13,0)</f>
        <v>236.25</v>
      </c>
      <c r="D19" s="26" t="n">
        <f aca="false">IFERROR($B7*(1+$D7)*D13/$E13,0)</f>
        <v>118.125</v>
      </c>
      <c r="E19" s="26" t="n">
        <f aca="false">SUM(B19:D19)</f>
        <v>945</v>
      </c>
    </row>
    <row r="20" customFormat="false" ht="15" hidden="false" customHeight="false" outlineLevel="0" collapsed="false">
      <c r="A20" s="11" t="s">
        <v>265</v>
      </c>
      <c r="B20" s="26" t="n">
        <f aca="false">IFERROR($B8*(1+$D8)*B14/$E14,0)</f>
        <v>210</v>
      </c>
      <c r="C20" s="26" t="n">
        <f aca="false">IFERROR($B8*(1+$D8)*C14/$E14,0)</f>
        <v>131.25</v>
      </c>
      <c r="D20" s="26" t="n">
        <f aca="false">IFERROR($B8*(1+$D8)*D14/$E14,0)</f>
        <v>183.75</v>
      </c>
      <c r="E20" s="26" t="n">
        <f aca="false">SUM(B20:D20)</f>
        <v>525</v>
      </c>
    </row>
    <row r="21" customFormat="false" ht="15" hidden="false" customHeight="false" outlineLevel="0" collapsed="false">
      <c r="A21" s="19" t="s">
        <v>273</v>
      </c>
      <c r="B21" s="23" t="n">
        <f aca="false">SUM(B17:B20)</f>
        <v>4055.625</v>
      </c>
      <c r="C21" s="23" t="n">
        <f aca="false">SUM(C17:C20)</f>
        <v>1995</v>
      </c>
      <c r="D21" s="23" t="n">
        <f aca="false">SUM(D17:D20)</f>
        <v>879.375</v>
      </c>
      <c r="E21" s="23" t="n">
        <f aca="false">SUM(E17:E20)</f>
        <v>6930</v>
      </c>
    </row>
    <row r="22" customFormat="false" ht="15" hidden="false" customHeight="false" outlineLevel="0" collapsed="false">
      <c r="A22" s="4" t="s">
        <v>274</v>
      </c>
      <c r="E22" s="26" t="n">
        <f aca="false">SUMPRODUCT(B5:B8,D5:D8)</f>
        <v>330</v>
      </c>
    </row>
    <row r="23" customFormat="false" ht="15" hidden="false" customHeight="false" outlineLevel="0" collapsed="false">
      <c r="A23" s="4" t="s">
        <v>275</v>
      </c>
      <c r="E23" s="29" t="n">
        <f aca="false">ROUND(E21-SUMPRODUCT(B5:B8,1+D5:D8),2)</f>
        <v>0</v>
      </c>
    </row>
    <row r="25" customFormat="false" ht="15" hidden="false" customHeight="false" outlineLevel="0" collapsed="false">
      <c r="A25" s="2" t="s">
        <v>276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46"/>
    <col collapsed="false" customWidth="true" hidden="false" outlineLevel="0" max="4" min="4" style="0" width="40"/>
    <col collapsed="false" customWidth="true" hidden="false" outlineLevel="0" max="5" min="5" style="0" width="22"/>
    <col collapsed="false" customWidth="true" hidden="false" outlineLevel="0" max="6" min="6" style="0" width="44"/>
  </cols>
  <sheetData>
    <row r="1" customFormat="false" ht="19.7" hidden="false" customHeight="false" outlineLevel="0" collapsed="false">
      <c r="A1" s="1" t="s">
        <v>277</v>
      </c>
    </row>
    <row r="2" customFormat="false" ht="15" hidden="false" customHeight="false" outlineLevel="0" collapsed="false">
      <c r="A2" s="2" t="s">
        <v>278</v>
      </c>
    </row>
    <row r="4" customFormat="false" ht="15" hidden="false" customHeight="false" outlineLevel="0" collapsed="false">
      <c r="A4" s="9" t="s">
        <v>11</v>
      </c>
      <c r="B4" s="9" t="s">
        <v>279</v>
      </c>
      <c r="C4" s="9" t="s">
        <v>44</v>
      </c>
      <c r="D4" s="9" t="s">
        <v>280</v>
      </c>
      <c r="E4" s="9" t="s">
        <v>281</v>
      </c>
      <c r="F4" s="9" t="s">
        <v>282</v>
      </c>
    </row>
    <row r="5" customFormat="false" ht="23.85" hidden="false" customHeight="false" outlineLevel="0" collapsed="false">
      <c r="A5" s="14" t="s">
        <v>283</v>
      </c>
      <c r="B5" s="14" t="s">
        <v>284</v>
      </c>
      <c r="C5" s="32" t="s">
        <v>285</v>
      </c>
      <c r="D5" s="14" t="s">
        <v>286</v>
      </c>
      <c r="E5" s="14" t="s">
        <v>287</v>
      </c>
      <c r="F5" s="14" t="s">
        <v>288</v>
      </c>
    </row>
    <row r="6" customFormat="false" ht="15" hidden="false" customHeight="false" outlineLevel="0" collapsed="false">
      <c r="A6" s="14" t="s">
        <v>283</v>
      </c>
      <c r="B6" s="14" t="s">
        <v>284</v>
      </c>
      <c r="C6" s="32" t="s">
        <v>289</v>
      </c>
      <c r="D6" s="14" t="s">
        <v>290</v>
      </c>
      <c r="E6" s="14" t="s">
        <v>287</v>
      </c>
      <c r="F6" s="14" t="s">
        <v>291</v>
      </c>
    </row>
    <row r="7" customFormat="false" ht="15" hidden="false" customHeight="false" outlineLevel="0" collapsed="false">
      <c r="A7" s="14" t="s">
        <v>18</v>
      </c>
      <c r="B7" s="14" t="s">
        <v>284</v>
      </c>
      <c r="C7" s="32" t="s">
        <v>292</v>
      </c>
      <c r="D7" s="14" t="s">
        <v>293</v>
      </c>
      <c r="E7" s="14" t="s">
        <v>287</v>
      </c>
      <c r="F7" s="14" t="s">
        <v>294</v>
      </c>
    </row>
    <row r="8" customFormat="false" ht="23.85" hidden="false" customHeight="false" outlineLevel="0" collapsed="false">
      <c r="A8" s="14" t="s">
        <v>22</v>
      </c>
      <c r="B8" s="14" t="s">
        <v>284</v>
      </c>
      <c r="C8" s="32" t="s">
        <v>295</v>
      </c>
      <c r="D8" s="14" t="s">
        <v>296</v>
      </c>
      <c r="E8" s="14" t="s">
        <v>287</v>
      </c>
      <c r="F8" s="14" t="s">
        <v>297</v>
      </c>
    </row>
    <row r="9" customFormat="false" ht="23.85" hidden="false" customHeight="false" outlineLevel="0" collapsed="false">
      <c r="A9" s="14" t="s">
        <v>20</v>
      </c>
      <c r="B9" s="14" t="s">
        <v>298</v>
      </c>
      <c r="C9" s="32" t="s">
        <v>299</v>
      </c>
      <c r="D9" s="14" t="s">
        <v>300</v>
      </c>
      <c r="E9" s="14" t="s">
        <v>301</v>
      </c>
      <c r="F9" s="14" t="s">
        <v>302</v>
      </c>
    </row>
    <row r="10" customFormat="false" ht="15" hidden="false" customHeight="false" outlineLevel="0" collapsed="false">
      <c r="A10" s="14" t="s">
        <v>20</v>
      </c>
      <c r="B10" s="14" t="s">
        <v>303</v>
      </c>
      <c r="C10" s="32" t="s">
        <v>304</v>
      </c>
      <c r="D10" s="14" t="s">
        <v>305</v>
      </c>
      <c r="E10" s="14" t="s">
        <v>306</v>
      </c>
      <c r="F10" s="14" t="s">
        <v>307</v>
      </c>
    </row>
    <row r="11" customFormat="false" ht="23.85" hidden="false" customHeight="false" outlineLevel="0" collapsed="false">
      <c r="A11" s="14" t="s">
        <v>308</v>
      </c>
      <c r="B11" s="14" t="s">
        <v>309</v>
      </c>
      <c r="C11" s="32" t="s">
        <v>310</v>
      </c>
      <c r="D11" s="14" t="s">
        <v>311</v>
      </c>
      <c r="E11" s="14" t="s">
        <v>312</v>
      </c>
      <c r="F11" s="14" t="s">
        <v>313</v>
      </c>
    </row>
    <row r="12" customFormat="false" ht="23.85" hidden="false" customHeight="false" outlineLevel="0" collapsed="false">
      <c r="A12" s="14" t="s">
        <v>24</v>
      </c>
      <c r="B12" s="14" t="s">
        <v>314</v>
      </c>
      <c r="C12" s="32" t="s">
        <v>315</v>
      </c>
      <c r="D12" s="14" t="s">
        <v>316</v>
      </c>
      <c r="E12" s="14" t="s">
        <v>317</v>
      </c>
      <c r="F12" s="14" t="s">
        <v>318</v>
      </c>
    </row>
    <row r="13" customFormat="false" ht="23.85" hidden="false" customHeight="false" outlineLevel="0" collapsed="false">
      <c r="A13" s="14" t="s">
        <v>30</v>
      </c>
      <c r="B13" s="14" t="s">
        <v>319</v>
      </c>
      <c r="C13" s="32" t="s">
        <v>320</v>
      </c>
      <c r="D13" s="14" t="s">
        <v>321</v>
      </c>
      <c r="E13" s="14" t="s">
        <v>322</v>
      </c>
      <c r="F13" s="14" t="s">
        <v>323</v>
      </c>
    </row>
    <row r="14" customFormat="false" ht="15" hidden="false" customHeight="false" outlineLevel="0" collapsed="false">
      <c r="A14" s="14" t="s">
        <v>30</v>
      </c>
      <c r="B14" s="14" t="s">
        <v>324</v>
      </c>
      <c r="C14" s="32" t="s">
        <v>325</v>
      </c>
      <c r="D14" s="14" t="s">
        <v>326</v>
      </c>
      <c r="E14" s="14" t="s">
        <v>306</v>
      </c>
      <c r="F14" s="14" t="s">
        <v>327</v>
      </c>
    </row>
    <row r="15" customFormat="false" ht="15" hidden="false" customHeight="false" outlineLevel="0" collapsed="false">
      <c r="A15" s="14" t="s">
        <v>328</v>
      </c>
      <c r="B15" s="14" t="s">
        <v>303</v>
      </c>
      <c r="C15" s="32" t="s">
        <v>329</v>
      </c>
      <c r="D15" s="14" t="s">
        <v>330</v>
      </c>
      <c r="E15" s="14" t="s">
        <v>306</v>
      </c>
      <c r="F15" s="14" t="s">
        <v>331</v>
      </c>
    </row>
    <row r="16" customFormat="false" ht="23.85" hidden="false" customHeight="false" outlineLevel="0" collapsed="false">
      <c r="A16" s="14" t="s">
        <v>28</v>
      </c>
      <c r="B16" s="14" t="s">
        <v>332</v>
      </c>
      <c r="C16" s="32" t="s">
        <v>333</v>
      </c>
      <c r="D16" s="14" t="s">
        <v>334</v>
      </c>
      <c r="E16" s="14" t="s">
        <v>335</v>
      </c>
      <c r="F16" s="14" t="s">
        <v>336</v>
      </c>
    </row>
    <row r="17" customFormat="false" ht="15" hidden="false" customHeight="false" outlineLevel="0" collapsed="false">
      <c r="A17" s="14" t="s">
        <v>34</v>
      </c>
      <c r="B17" s="14" t="s">
        <v>284</v>
      </c>
      <c r="C17" s="32" t="s">
        <v>337</v>
      </c>
      <c r="D17" s="14" t="s">
        <v>338</v>
      </c>
      <c r="E17" s="14" t="s">
        <v>287</v>
      </c>
      <c r="F17" s="14" t="s">
        <v>339</v>
      </c>
    </row>
    <row r="18" customFormat="false" ht="23.85" hidden="false" customHeight="false" outlineLevel="0" collapsed="false">
      <c r="A18" s="14" t="s">
        <v>340</v>
      </c>
      <c r="B18" s="14" t="s">
        <v>341</v>
      </c>
      <c r="C18" s="32" t="s">
        <v>342</v>
      </c>
      <c r="D18" s="14" t="s">
        <v>343</v>
      </c>
      <c r="E18" s="14" t="s">
        <v>344</v>
      </c>
      <c r="F18" s="14" t="s">
        <v>345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2026-10-18T14:38:31Z</dcterms:created>
  <dc:creator>openpyxl</dc:creator>
  <dc:description/>
  <dc:language>en-US</dc:language>
  <cp:lastModifiedBy/>
  <dcterms:modified xsi:type="dcterms:W3CDTF">2026-10-18T14:38:34Z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